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olly\Downloads\"/>
    </mc:Choice>
  </mc:AlternateContent>
  <xr:revisionPtr revIDLastSave="0" documentId="13_ncr:1_{1D3467DC-6422-4B71-B295-38D9A7339986}" xr6:coauthVersionLast="47" xr6:coauthVersionMax="47" xr10:uidLastSave="{00000000-0000-0000-0000-000000000000}"/>
  <bookViews>
    <workbookView xWindow="-110" yWindow="-110" windowWidth="19420" windowHeight="11500" xr2:uid="{D82379C3-A14E-47A3-AD63-D16EE4390249}"/>
  </bookViews>
  <sheets>
    <sheet name="About" sheetId="6" r:id="rId1"/>
    <sheet name="Salesmans" sheetId="5" r:id="rId2"/>
    <sheet name="Products" sheetId="4" r:id="rId3"/>
    <sheet name="Dashboard" sheetId="1" r:id="rId4"/>
    <sheet name="Data" sheetId="2" r:id="rId5"/>
    <sheet name="Pivot Table" sheetId="3" r:id="rId6"/>
  </sheets>
  <definedNames>
    <definedName name="NativeTimeline_Date">#N/A</definedName>
    <definedName name="Slicer_Item">#N/A</definedName>
    <definedName name="Slicer_Region">#N/A</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9" i="3" l="1"/>
  <c r="O4" i="3"/>
</calcChain>
</file>

<file path=xl/sharedStrings.xml><?xml version="1.0" encoding="utf-8"?>
<sst xmlns="http://schemas.openxmlformats.org/spreadsheetml/2006/main" count="972" uniqueCount="39">
  <si>
    <t>S No</t>
  </si>
  <si>
    <t>Date</t>
  </si>
  <si>
    <t>Salesman</t>
  </si>
  <si>
    <t>Region</t>
  </si>
  <si>
    <t>Item</t>
  </si>
  <si>
    <t>Qty</t>
  </si>
  <si>
    <t>Price</t>
  </si>
  <si>
    <t>Amount</t>
  </si>
  <si>
    <t>Ajit Kumar</t>
  </si>
  <si>
    <t>West</t>
  </si>
  <si>
    <t>Speaker</t>
  </si>
  <si>
    <t>Ramesh</t>
  </si>
  <si>
    <t>North</t>
  </si>
  <si>
    <t>Scanner</t>
  </si>
  <si>
    <t>East</t>
  </si>
  <si>
    <t>Mouse</t>
  </si>
  <si>
    <t>Chandu</t>
  </si>
  <si>
    <t>Monitor</t>
  </si>
  <si>
    <t>Amit</t>
  </si>
  <si>
    <t>Keyboard</t>
  </si>
  <si>
    <t>South</t>
  </si>
  <si>
    <t>Siddhu</t>
  </si>
  <si>
    <t>Printer</t>
  </si>
  <si>
    <t>Rohit Das</t>
  </si>
  <si>
    <t>Row Labels</t>
  </si>
  <si>
    <t>Grand Total</t>
  </si>
  <si>
    <t>Sum of Amount</t>
  </si>
  <si>
    <t>Mar</t>
  </si>
  <si>
    <t>Apr</t>
  </si>
  <si>
    <t>May</t>
  </si>
  <si>
    <t>Jun</t>
  </si>
  <si>
    <t>Jul</t>
  </si>
  <si>
    <t>Aug</t>
  </si>
  <si>
    <t>Count of S No</t>
  </si>
  <si>
    <t>Sum of Qty</t>
  </si>
  <si>
    <t>Jan</t>
  </si>
  <si>
    <t>Feb</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</si>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</sst>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2" fontId="0" fillId="0" borderId="0" xfId="0" applyNumberFormat="1"/>
    <xf numFmtId="0" fontId="1" fillId="2" borderId="0" xfId="0" applyFont="1" applyFill="1"/>
    <xf numFmtId="14" fontId="1" fillId="2" borderId="0" xfId="0" applyNumberFormat="1" applyFont="1" applyFill="1"/>
    <xf numFmtId="2" fontId="1" fillId="2" borderId="0" xfId="0" applyNumberFormat="1" applyFont="1" applyFill="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Table!PivotTable11</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Table'!$R$42:$R$45</c:f>
              <c:strCache>
                <c:ptCount val="3"/>
                <c:pt idx="0">
                  <c:v>Ajit Kumar</c:v>
                </c:pt>
                <c:pt idx="1">
                  <c:v>Amit</c:v>
                </c:pt>
                <c:pt idx="2">
                  <c:v>Chandu</c:v>
                </c:pt>
              </c:strCache>
            </c:strRef>
          </c:cat>
          <c:val>
            <c:numRef>
              <c:f>'Pivot Table'!$S$42:$S$45</c:f>
              <c:numCache>
                <c:formatCode>General</c:formatCode>
                <c:ptCount val="3"/>
                <c:pt idx="0">
                  <c:v>229</c:v>
                </c:pt>
                <c:pt idx="1">
                  <c:v>255</c:v>
                </c:pt>
                <c:pt idx="2">
                  <c:v>259</c:v>
                </c:pt>
              </c:numCache>
            </c:numRef>
          </c:val>
          <c:extLst>
            <c:ext xmlns:c16="http://schemas.microsoft.com/office/drawing/2014/chart" uri="{C3380CC4-5D6E-409C-BE32-E72D297353CC}">
              <c16:uniqueId val="{00000000-0D0A-4DFE-B200-08EA654B1C03}"/>
            </c:ext>
          </c:extLst>
        </c:ser>
        <c:dLbls>
          <c:showLegendKey val="0"/>
          <c:showVal val="0"/>
          <c:showCatName val="0"/>
          <c:showSerName val="0"/>
          <c:showPercent val="0"/>
          <c:showBubbleSize val="0"/>
        </c:dLbls>
        <c:gapWidth val="182"/>
        <c:axId val="423914847"/>
        <c:axId val="423911103"/>
      </c:barChart>
      <c:catAx>
        <c:axId val="42391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11103"/>
        <c:crosses val="autoZero"/>
        <c:auto val="1"/>
        <c:lblAlgn val="ctr"/>
        <c:lblOffset val="100"/>
        <c:noMultiLvlLbl val="0"/>
      </c:catAx>
      <c:valAx>
        <c:axId val="423911103"/>
        <c:scaling>
          <c:orientation val="minMax"/>
        </c:scaling>
        <c:delete val="1"/>
        <c:axPos val="b"/>
        <c:numFmt formatCode="General" sourceLinked="1"/>
        <c:majorTickMark val="none"/>
        <c:minorTickMark val="none"/>
        <c:tickLblPos val="nextTo"/>
        <c:crossAx val="42391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Table!PivotTable12</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Table'!$R$53:$R$56</c:f>
              <c:strCache>
                <c:ptCount val="3"/>
                <c:pt idx="0">
                  <c:v>Siddhu</c:v>
                </c:pt>
                <c:pt idx="1">
                  <c:v>Ramesh</c:v>
                </c:pt>
                <c:pt idx="2">
                  <c:v>Rohit Das</c:v>
                </c:pt>
              </c:strCache>
            </c:strRef>
          </c:cat>
          <c:val>
            <c:numRef>
              <c:f>'Pivot Table'!$S$53:$S$56</c:f>
              <c:numCache>
                <c:formatCode>General</c:formatCode>
                <c:ptCount val="3"/>
                <c:pt idx="0">
                  <c:v>222</c:v>
                </c:pt>
                <c:pt idx="1">
                  <c:v>219</c:v>
                </c:pt>
                <c:pt idx="2">
                  <c:v>217</c:v>
                </c:pt>
              </c:numCache>
            </c:numRef>
          </c:val>
          <c:extLst>
            <c:ext xmlns:c16="http://schemas.microsoft.com/office/drawing/2014/chart" uri="{C3380CC4-5D6E-409C-BE32-E72D297353CC}">
              <c16:uniqueId val="{00000000-F2D0-4385-A6D7-A0B22F10C193}"/>
            </c:ext>
          </c:extLst>
        </c:ser>
        <c:dLbls>
          <c:showLegendKey val="0"/>
          <c:showVal val="0"/>
          <c:showCatName val="0"/>
          <c:showSerName val="0"/>
          <c:showPercent val="0"/>
          <c:showBubbleSize val="0"/>
        </c:dLbls>
        <c:gapWidth val="182"/>
        <c:axId val="423935647"/>
        <c:axId val="423936895"/>
      </c:barChart>
      <c:catAx>
        <c:axId val="42393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36895"/>
        <c:crosses val="autoZero"/>
        <c:auto val="1"/>
        <c:lblAlgn val="ctr"/>
        <c:lblOffset val="100"/>
        <c:noMultiLvlLbl val="0"/>
      </c:catAx>
      <c:valAx>
        <c:axId val="423936895"/>
        <c:scaling>
          <c:orientation val="minMax"/>
        </c:scaling>
        <c:delete val="1"/>
        <c:axPos val="b"/>
        <c:numFmt formatCode="General" sourceLinked="1"/>
        <c:majorTickMark val="none"/>
        <c:minorTickMark val="none"/>
        <c:tickLblPos val="nextTo"/>
        <c:crossAx val="423935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Table!PivotTable13</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Table'!$R$68:$R$74</c:f>
              <c:strCache>
                <c:ptCount val="6"/>
                <c:pt idx="0">
                  <c:v>Ajit Kumar</c:v>
                </c:pt>
                <c:pt idx="1">
                  <c:v>Amit</c:v>
                </c:pt>
                <c:pt idx="2">
                  <c:v>Chandu</c:v>
                </c:pt>
                <c:pt idx="3">
                  <c:v>Ramesh</c:v>
                </c:pt>
                <c:pt idx="4">
                  <c:v>Rohit Das</c:v>
                </c:pt>
                <c:pt idx="5">
                  <c:v>Siddhu</c:v>
                </c:pt>
              </c:strCache>
            </c:strRef>
          </c:cat>
          <c:val>
            <c:numRef>
              <c:f>'Pivot Table'!$S$68:$S$74</c:f>
              <c:numCache>
                <c:formatCode>General</c:formatCode>
                <c:ptCount val="6"/>
                <c:pt idx="0">
                  <c:v>25200</c:v>
                </c:pt>
                <c:pt idx="1">
                  <c:v>87600</c:v>
                </c:pt>
                <c:pt idx="2">
                  <c:v>81600</c:v>
                </c:pt>
                <c:pt idx="3">
                  <c:v>38400</c:v>
                </c:pt>
                <c:pt idx="4">
                  <c:v>57600</c:v>
                </c:pt>
                <c:pt idx="5">
                  <c:v>52800</c:v>
                </c:pt>
              </c:numCache>
            </c:numRef>
          </c:val>
          <c:extLst>
            <c:ext xmlns:c16="http://schemas.microsoft.com/office/drawing/2014/chart" uri="{C3380CC4-5D6E-409C-BE32-E72D297353CC}">
              <c16:uniqueId val="{00000000-3EC5-4CA7-B410-01F92F9255F3}"/>
            </c:ext>
          </c:extLst>
        </c:ser>
        <c:dLbls>
          <c:dLblPos val="outEnd"/>
          <c:showLegendKey val="0"/>
          <c:showVal val="1"/>
          <c:showCatName val="0"/>
          <c:showSerName val="0"/>
          <c:showPercent val="0"/>
          <c:showBubbleSize val="0"/>
        </c:dLbls>
        <c:gapWidth val="219"/>
        <c:overlap val="-27"/>
        <c:axId val="428985903"/>
        <c:axId val="428982159"/>
      </c:barChart>
      <c:catAx>
        <c:axId val="42898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982159"/>
        <c:crosses val="autoZero"/>
        <c:auto val="1"/>
        <c:lblAlgn val="ctr"/>
        <c:lblOffset val="100"/>
        <c:noMultiLvlLbl val="0"/>
      </c:catAx>
      <c:valAx>
        <c:axId val="428982159"/>
        <c:scaling>
          <c:orientation val="minMax"/>
        </c:scaling>
        <c:delete val="1"/>
        <c:axPos val="l"/>
        <c:numFmt formatCode="General" sourceLinked="1"/>
        <c:majorTickMark val="none"/>
        <c:minorTickMark val="none"/>
        <c:tickLblPos val="nextTo"/>
        <c:crossAx val="42898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Table!PivotTable7</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Table'!$R$4:$R$7</c:f>
              <c:strCache>
                <c:ptCount val="3"/>
                <c:pt idx="0">
                  <c:v>Scanner</c:v>
                </c:pt>
                <c:pt idx="1">
                  <c:v>Monitor</c:v>
                </c:pt>
                <c:pt idx="2">
                  <c:v>Printer</c:v>
                </c:pt>
              </c:strCache>
            </c:strRef>
          </c:cat>
          <c:val>
            <c:numRef>
              <c:f>'Pivot Table'!$S$4:$S$7</c:f>
              <c:numCache>
                <c:formatCode>General</c:formatCode>
                <c:ptCount val="3"/>
                <c:pt idx="0">
                  <c:v>220</c:v>
                </c:pt>
                <c:pt idx="1">
                  <c:v>286</c:v>
                </c:pt>
                <c:pt idx="2">
                  <c:v>298</c:v>
                </c:pt>
              </c:numCache>
            </c:numRef>
          </c:val>
          <c:extLst>
            <c:ext xmlns:c16="http://schemas.microsoft.com/office/drawing/2014/chart" uri="{C3380CC4-5D6E-409C-BE32-E72D297353CC}">
              <c16:uniqueId val="{00000007-1A15-4D56-80EC-CDA22AFB0D6D}"/>
            </c:ext>
          </c:extLst>
        </c:ser>
        <c:dLbls>
          <c:showLegendKey val="0"/>
          <c:showVal val="0"/>
          <c:showCatName val="0"/>
          <c:showSerName val="0"/>
          <c:showPercent val="0"/>
          <c:showBubbleSize val="0"/>
        </c:dLbls>
        <c:gapWidth val="182"/>
        <c:axId val="429005871"/>
        <c:axId val="429020015"/>
      </c:barChart>
      <c:catAx>
        <c:axId val="429005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20015"/>
        <c:crosses val="autoZero"/>
        <c:auto val="1"/>
        <c:lblAlgn val="ctr"/>
        <c:lblOffset val="100"/>
        <c:noMultiLvlLbl val="0"/>
      </c:catAx>
      <c:valAx>
        <c:axId val="429020015"/>
        <c:scaling>
          <c:orientation val="minMax"/>
        </c:scaling>
        <c:delete val="1"/>
        <c:axPos val="b"/>
        <c:numFmt formatCode="General" sourceLinked="1"/>
        <c:majorTickMark val="none"/>
        <c:minorTickMark val="none"/>
        <c:tickLblPos val="nextTo"/>
        <c:crossAx val="429005871"/>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Table'!$R$12:$R$15</c:f>
              <c:strCache>
                <c:ptCount val="3"/>
                <c:pt idx="0">
                  <c:v>Speaker</c:v>
                </c:pt>
                <c:pt idx="1">
                  <c:v>Keyboard</c:v>
                </c:pt>
                <c:pt idx="2">
                  <c:v>Mouse</c:v>
                </c:pt>
              </c:strCache>
            </c:strRef>
          </c:cat>
          <c:val>
            <c:numRef>
              <c:f>'Pivot Table'!$S$12:$S$15</c:f>
              <c:numCache>
                <c:formatCode>General</c:formatCode>
                <c:ptCount val="3"/>
                <c:pt idx="0">
                  <c:v>216</c:v>
                </c:pt>
                <c:pt idx="1">
                  <c:v>207</c:v>
                </c:pt>
                <c:pt idx="2">
                  <c:v>174</c:v>
                </c:pt>
              </c:numCache>
            </c:numRef>
          </c:val>
          <c:extLst>
            <c:ext xmlns:c16="http://schemas.microsoft.com/office/drawing/2014/chart" uri="{C3380CC4-5D6E-409C-BE32-E72D297353CC}">
              <c16:uniqueId val="{00000000-21EE-426E-A67C-C0E2A288154B}"/>
            </c:ext>
          </c:extLst>
        </c:ser>
        <c:dLbls>
          <c:showLegendKey val="0"/>
          <c:showVal val="0"/>
          <c:showCatName val="0"/>
          <c:showSerName val="0"/>
          <c:showPercent val="0"/>
          <c:showBubbleSize val="0"/>
        </c:dLbls>
        <c:gapWidth val="182"/>
        <c:axId val="429005871"/>
        <c:axId val="429020015"/>
      </c:barChart>
      <c:catAx>
        <c:axId val="429005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20015"/>
        <c:crosses val="autoZero"/>
        <c:auto val="1"/>
        <c:lblAlgn val="ctr"/>
        <c:lblOffset val="100"/>
        <c:noMultiLvlLbl val="0"/>
      </c:catAx>
      <c:valAx>
        <c:axId val="429020015"/>
        <c:scaling>
          <c:orientation val="minMax"/>
        </c:scaling>
        <c:delete val="1"/>
        <c:axPos val="b"/>
        <c:numFmt formatCode="General" sourceLinked="1"/>
        <c:majorTickMark val="none"/>
        <c:minorTickMark val="none"/>
        <c:tickLblPos val="nextTo"/>
        <c:crossAx val="429005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Table'!$R$26:$R$27</c:f>
              <c:strCache>
                <c:ptCount val="1"/>
                <c:pt idx="0">
                  <c:v>Monitor</c:v>
                </c:pt>
              </c:strCache>
            </c:strRef>
          </c:cat>
          <c:val>
            <c:numRef>
              <c:f>'Pivot Table'!$S$26:$S$27</c:f>
              <c:numCache>
                <c:formatCode>General</c:formatCode>
                <c:ptCount val="1"/>
                <c:pt idx="0">
                  <c:v>286</c:v>
                </c:pt>
              </c:numCache>
            </c:numRef>
          </c:val>
          <c:extLst>
            <c:ext xmlns:c16="http://schemas.microsoft.com/office/drawing/2014/chart" uri="{C3380CC4-5D6E-409C-BE32-E72D297353CC}">
              <c16:uniqueId val="{00000000-D6F2-498A-98FC-C05ED1C6F403}"/>
            </c:ext>
          </c:extLst>
        </c:ser>
        <c:dLbls>
          <c:showLegendKey val="0"/>
          <c:showVal val="0"/>
          <c:showCatName val="0"/>
          <c:showSerName val="0"/>
          <c:showPercent val="0"/>
          <c:showBubbleSize val="0"/>
        </c:dLbls>
        <c:gapWidth val="219"/>
        <c:overlap val="-27"/>
        <c:axId val="212850015"/>
        <c:axId val="212847935"/>
      </c:barChart>
      <c:catAx>
        <c:axId val="21285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47935"/>
        <c:crosses val="autoZero"/>
        <c:auto val="1"/>
        <c:lblAlgn val="ctr"/>
        <c:lblOffset val="100"/>
        <c:noMultiLvlLbl val="0"/>
      </c:catAx>
      <c:valAx>
        <c:axId val="212847935"/>
        <c:scaling>
          <c:orientation val="minMax"/>
        </c:scaling>
        <c:delete val="1"/>
        <c:axPos val="l"/>
        <c:numFmt formatCode="General" sourceLinked="1"/>
        <c:majorTickMark val="none"/>
        <c:minorTickMark val="none"/>
        <c:tickLblPos val="nextTo"/>
        <c:crossAx val="212850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none"/>
          </c:marker>
          <c:cat>
            <c:strRef>
              <c:f>'Pivot Table'!$A$3:$A$13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Table'!$B$3:$B$13</c:f>
              <c:numCache>
                <c:formatCode>General</c:formatCode>
                <c:ptCount val="10"/>
                <c:pt idx="0">
                  <c:v>55200</c:v>
                </c:pt>
                <c:pt idx="1">
                  <c:v>15600</c:v>
                </c:pt>
                <c:pt idx="2">
                  <c:v>34800</c:v>
                </c:pt>
                <c:pt idx="3">
                  <c:v>36000</c:v>
                </c:pt>
                <c:pt idx="4">
                  <c:v>9600</c:v>
                </c:pt>
                <c:pt idx="5">
                  <c:v>43200</c:v>
                </c:pt>
                <c:pt idx="6">
                  <c:v>30000</c:v>
                </c:pt>
                <c:pt idx="7">
                  <c:v>32400</c:v>
                </c:pt>
                <c:pt idx="8">
                  <c:v>33600</c:v>
                </c:pt>
                <c:pt idx="9">
                  <c:v>52800</c:v>
                </c:pt>
              </c:numCache>
            </c:numRef>
          </c:val>
          <c:smooth val="0"/>
          <c:extLst>
            <c:ext xmlns:c16="http://schemas.microsoft.com/office/drawing/2014/chart" uri="{C3380CC4-5D6E-409C-BE32-E72D297353CC}">
              <c16:uniqueId val="{00000000-CEB6-4992-A259-9697BEEDC34F}"/>
            </c:ext>
          </c:extLst>
        </c:ser>
        <c:dLbls>
          <c:showLegendKey val="0"/>
          <c:showVal val="0"/>
          <c:showCatName val="0"/>
          <c:showSerName val="0"/>
          <c:showPercent val="0"/>
          <c:showBubbleSize val="0"/>
        </c:dLbls>
        <c:smooth val="0"/>
        <c:axId val="428990895"/>
        <c:axId val="428982991"/>
      </c:lineChart>
      <c:catAx>
        <c:axId val="42899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982991"/>
        <c:crosses val="autoZero"/>
        <c:auto val="1"/>
        <c:lblAlgn val="ctr"/>
        <c:lblOffset val="100"/>
        <c:noMultiLvlLbl val="0"/>
      </c:catAx>
      <c:valAx>
        <c:axId val="428982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99089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Table'!$F$3:$F$7</c:f>
              <c:strCache>
                <c:ptCount val="4"/>
                <c:pt idx="0">
                  <c:v>East</c:v>
                </c:pt>
                <c:pt idx="1">
                  <c:v>North</c:v>
                </c:pt>
                <c:pt idx="2">
                  <c:v>South</c:v>
                </c:pt>
                <c:pt idx="3">
                  <c:v>West</c:v>
                </c:pt>
              </c:strCache>
            </c:strRef>
          </c:cat>
          <c:val>
            <c:numRef>
              <c:f>'Pivot Table'!$G$3:$G$7</c:f>
              <c:numCache>
                <c:formatCode>General</c:formatCode>
                <c:ptCount val="4"/>
                <c:pt idx="0">
                  <c:v>74400</c:v>
                </c:pt>
                <c:pt idx="1">
                  <c:v>104400</c:v>
                </c:pt>
                <c:pt idx="2">
                  <c:v>50400</c:v>
                </c:pt>
                <c:pt idx="3">
                  <c:v>114000</c:v>
                </c:pt>
              </c:numCache>
            </c:numRef>
          </c:val>
          <c:extLst>
            <c:ext xmlns:c16="http://schemas.microsoft.com/office/drawing/2014/chart" uri="{C3380CC4-5D6E-409C-BE32-E72D297353CC}">
              <c16:uniqueId val="{00000000-D06B-4B47-A12D-B686694DF539}"/>
            </c:ext>
          </c:extLst>
        </c:ser>
        <c:dLbls>
          <c:showLegendKey val="0"/>
          <c:showVal val="0"/>
          <c:showCatName val="0"/>
          <c:showSerName val="0"/>
          <c:showPercent val="0"/>
          <c:showBubbleSize val="0"/>
        </c:dLbls>
        <c:gapWidth val="219"/>
        <c:overlap val="-27"/>
        <c:axId val="429014191"/>
        <c:axId val="429009615"/>
      </c:barChart>
      <c:catAx>
        <c:axId val="429014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09615"/>
        <c:crosses val="autoZero"/>
        <c:auto val="1"/>
        <c:lblAlgn val="ctr"/>
        <c:lblOffset val="100"/>
        <c:noMultiLvlLbl val="0"/>
      </c:catAx>
      <c:valAx>
        <c:axId val="429009615"/>
        <c:scaling>
          <c:orientation val="minMax"/>
        </c:scaling>
        <c:delete val="1"/>
        <c:axPos val="l"/>
        <c:numFmt formatCode="General" sourceLinked="1"/>
        <c:majorTickMark val="out"/>
        <c:minorTickMark val="none"/>
        <c:tickLblPos val="nextTo"/>
        <c:crossAx val="42901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Table'!$J$3:$J$4</c:f>
              <c:strCache>
                <c:ptCount val="1"/>
                <c:pt idx="0">
                  <c:v>Monitor</c:v>
                </c:pt>
              </c:strCache>
            </c:strRef>
          </c:cat>
          <c:val>
            <c:numRef>
              <c:f>'Pivot Table'!$K$3:$K$4</c:f>
              <c:numCache>
                <c:formatCode>0.00%</c:formatCode>
                <c:ptCount val="1"/>
                <c:pt idx="0">
                  <c:v>1</c:v>
                </c:pt>
              </c:numCache>
            </c:numRef>
          </c:val>
          <c:extLst>
            <c:ext xmlns:c16="http://schemas.microsoft.com/office/drawing/2014/chart" uri="{C3380CC4-5D6E-409C-BE32-E72D297353CC}">
              <c16:uniqueId val="{00000000-777B-4885-8182-64BA2BE44390}"/>
            </c:ext>
          </c:extLst>
        </c:ser>
        <c:dLbls>
          <c:showLegendKey val="0"/>
          <c:showVal val="0"/>
          <c:showCatName val="0"/>
          <c:showSerName val="0"/>
          <c:showPercent val="0"/>
          <c:showBubbleSize val="0"/>
        </c:dLbls>
        <c:gapWidth val="182"/>
        <c:axId val="423963935"/>
        <c:axId val="423968511"/>
      </c:barChart>
      <c:catAx>
        <c:axId val="42396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68511"/>
        <c:crosses val="autoZero"/>
        <c:auto val="1"/>
        <c:lblAlgn val="ctr"/>
        <c:lblOffset val="100"/>
        <c:noMultiLvlLbl val="0"/>
      </c:catAx>
      <c:valAx>
        <c:axId val="423968511"/>
        <c:scaling>
          <c:orientation val="minMax"/>
        </c:scaling>
        <c:delete val="1"/>
        <c:axPos val="b"/>
        <c:numFmt formatCode="0.00%" sourceLinked="1"/>
        <c:majorTickMark val="none"/>
        <c:minorTickMark val="none"/>
        <c:tickLblPos val="nextTo"/>
        <c:crossAx val="423963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Table!PivotTable7</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Table'!$R$4:$R$7</c:f>
              <c:strCache>
                <c:ptCount val="3"/>
                <c:pt idx="0">
                  <c:v>Scanner</c:v>
                </c:pt>
                <c:pt idx="1">
                  <c:v>Monitor</c:v>
                </c:pt>
                <c:pt idx="2">
                  <c:v>Printer</c:v>
                </c:pt>
              </c:strCache>
            </c:strRef>
          </c:cat>
          <c:val>
            <c:numRef>
              <c:f>'Pivot Table'!$S$4:$S$7</c:f>
              <c:numCache>
                <c:formatCode>General</c:formatCode>
                <c:ptCount val="3"/>
                <c:pt idx="0">
                  <c:v>220</c:v>
                </c:pt>
                <c:pt idx="1">
                  <c:v>286</c:v>
                </c:pt>
                <c:pt idx="2">
                  <c:v>298</c:v>
                </c:pt>
              </c:numCache>
            </c:numRef>
          </c:val>
          <c:extLst>
            <c:ext xmlns:c16="http://schemas.microsoft.com/office/drawing/2014/chart" uri="{C3380CC4-5D6E-409C-BE32-E72D297353CC}">
              <c16:uniqueId val="{00000000-C786-4C7C-AD35-790A590E45F9}"/>
            </c:ext>
          </c:extLst>
        </c:ser>
        <c:dLbls>
          <c:dLblPos val="outEnd"/>
          <c:showLegendKey val="0"/>
          <c:showVal val="1"/>
          <c:showCatName val="0"/>
          <c:showSerName val="0"/>
          <c:showPercent val="0"/>
          <c:showBubbleSize val="0"/>
        </c:dLbls>
        <c:gapWidth val="182"/>
        <c:axId val="208513279"/>
        <c:axId val="208515359"/>
      </c:barChart>
      <c:catAx>
        <c:axId val="2085132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15359"/>
        <c:crosses val="autoZero"/>
        <c:auto val="1"/>
        <c:lblAlgn val="ctr"/>
        <c:lblOffset val="100"/>
        <c:noMultiLvlLbl val="0"/>
      </c:catAx>
      <c:valAx>
        <c:axId val="208515359"/>
        <c:scaling>
          <c:orientation val="minMax"/>
        </c:scaling>
        <c:delete val="1"/>
        <c:axPos val="b"/>
        <c:numFmt formatCode="General" sourceLinked="1"/>
        <c:majorTickMark val="out"/>
        <c:minorTickMark val="none"/>
        <c:tickLblPos val="nextTo"/>
        <c:crossAx val="20851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Table'!$R$12:$R$15</c:f>
              <c:strCache>
                <c:ptCount val="3"/>
                <c:pt idx="0">
                  <c:v>Speaker</c:v>
                </c:pt>
                <c:pt idx="1">
                  <c:v>Keyboard</c:v>
                </c:pt>
                <c:pt idx="2">
                  <c:v>Mouse</c:v>
                </c:pt>
              </c:strCache>
            </c:strRef>
          </c:cat>
          <c:val>
            <c:numRef>
              <c:f>'Pivot Table'!$S$12:$S$15</c:f>
              <c:numCache>
                <c:formatCode>General</c:formatCode>
                <c:ptCount val="3"/>
                <c:pt idx="0">
                  <c:v>216</c:v>
                </c:pt>
                <c:pt idx="1">
                  <c:v>207</c:v>
                </c:pt>
                <c:pt idx="2">
                  <c:v>174</c:v>
                </c:pt>
              </c:numCache>
            </c:numRef>
          </c:val>
          <c:extLst>
            <c:ext xmlns:c16="http://schemas.microsoft.com/office/drawing/2014/chart" uri="{C3380CC4-5D6E-409C-BE32-E72D297353CC}">
              <c16:uniqueId val="{00000000-CA34-4CF2-92C8-71CD55517C37}"/>
            </c:ext>
          </c:extLst>
        </c:ser>
        <c:dLbls>
          <c:showLegendKey val="0"/>
          <c:showVal val="0"/>
          <c:showCatName val="0"/>
          <c:showSerName val="0"/>
          <c:showPercent val="0"/>
          <c:showBubbleSize val="0"/>
        </c:dLbls>
        <c:gapWidth val="182"/>
        <c:axId val="429005871"/>
        <c:axId val="429020015"/>
      </c:barChart>
      <c:catAx>
        <c:axId val="429005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020015"/>
        <c:crosses val="autoZero"/>
        <c:auto val="1"/>
        <c:lblAlgn val="ctr"/>
        <c:lblOffset val="100"/>
        <c:noMultiLvlLbl val="0"/>
      </c:catAx>
      <c:valAx>
        <c:axId val="429020015"/>
        <c:scaling>
          <c:orientation val="minMax"/>
        </c:scaling>
        <c:delete val="1"/>
        <c:axPos val="b"/>
        <c:numFmt formatCode="General" sourceLinked="1"/>
        <c:majorTickMark val="none"/>
        <c:minorTickMark val="none"/>
        <c:tickLblPos val="nextTo"/>
        <c:crossAx val="429005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Table!PivotTable9</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Table'!$R$26:$R$27</c:f>
              <c:strCache>
                <c:ptCount val="1"/>
                <c:pt idx="0">
                  <c:v>Monitor</c:v>
                </c:pt>
              </c:strCache>
            </c:strRef>
          </c:cat>
          <c:val>
            <c:numRef>
              <c:f>'Pivot Table'!$S$26:$S$27</c:f>
              <c:numCache>
                <c:formatCode>General</c:formatCode>
                <c:ptCount val="1"/>
                <c:pt idx="0">
                  <c:v>286</c:v>
                </c:pt>
              </c:numCache>
            </c:numRef>
          </c:val>
          <c:extLst>
            <c:ext xmlns:c16="http://schemas.microsoft.com/office/drawing/2014/chart" uri="{C3380CC4-5D6E-409C-BE32-E72D297353CC}">
              <c16:uniqueId val="{00000000-EC6F-405B-9BA9-0B533FEC40A6}"/>
            </c:ext>
          </c:extLst>
        </c:ser>
        <c:dLbls>
          <c:showLegendKey val="0"/>
          <c:showVal val="0"/>
          <c:showCatName val="0"/>
          <c:showSerName val="0"/>
          <c:showPercent val="0"/>
          <c:showBubbleSize val="0"/>
        </c:dLbls>
        <c:gapWidth val="219"/>
        <c:overlap val="-27"/>
        <c:axId val="212850015"/>
        <c:axId val="212847935"/>
      </c:barChart>
      <c:catAx>
        <c:axId val="21285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47935"/>
        <c:crosses val="autoZero"/>
        <c:auto val="1"/>
        <c:lblAlgn val="ctr"/>
        <c:lblOffset val="100"/>
        <c:noMultiLvlLbl val="0"/>
      </c:catAx>
      <c:valAx>
        <c:axId val="212847935"/>
        <c:scaling>
          <c:orientation val="minMax"/>
        </c:scaling>
        <c:delete val="1"/>
        <c:axPos val="l"/>
        <c:numFmt formatCode="General" sourceLinked="1"/>
        <c:majorTickMark val="none"/>
        <c:minorTickMark val="none"/>
        <c:tickLblPos val="nextTo"/>
        <c:crossAx val="212850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Table'!$R$42:$R$45</c:f>
              <c:strCache>
                <c:ptCount val="3"/>
                <c:pt idx="0">
                  <c:v>Ajit Kumar</c:v>
                </c:pt>
                <c:pt idx="1">
                  <c:v>Amit</c:v>
                </c:pt>
                <c:pt idx="2">
                  <c:v>Chandu</c:v>
                </c:pt>
              </c:strCache>
            </c:strRef>
          </c:cat>
          <c:val>
            <c:numRef>
              <c:f>'Pivot Table'!$S$42:$S$45</c:f>
              <c:numCache>
                <c:formatCode>General</c:formatCode>
                <c:ptCount val="3"/>
                <c:pt idx="0">
                  <c:v>229</c:v>
                </c:pt>
                <c:pt idx="1">
                  <c:v>255</c:v>
                </c:pt>
                <c:pt idx="2">
                  <c:v>259</c:v>
                </c:pt>
              </c:numCache>
            </c:numRef>
          </c:val>
          <c:extLst>
            <c:ext xmlns:c16="http://schemas.microsoft.com/office/drawing/2014/chart" uri="{C3380CC4-5D6E-409C-BE32-E72D297353CC}">
              <c16:uniqueId val="{00000000-5F70-4282-8ABD-3D53EF5808E9}"/>
            </c:ext>
          </c:extLst>
        </c:ser>
        <c:dLbls>
          <c:showLegendKey val="0"/>
          <c:showVal val="0"/>
          <c:showCatName val="0"/>
          <c:showSerName val="0"/>
          <c:showPercent val="0"/>
          <c:showBubbleSize val="0"/>
        </c:dLbls>
        <c:gapWidth val="182"/>
        <c:axId val="423914847"/>
        <c:axId val="423911103"/>
      </c:barChart>
      <c:catAx>
        <c:axId val="42391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11103"/>
        <c:crosses val="autoZero"/>
        <c:auto val="1"/>
        <c:lblAlgn val="ctr"/>
        <c:lblOffset val="100"/>
        <c:noMultiLvlLbl val="0"/>
      </c:catAx>
      <c:valAx>
        <c:axId val="423911103"/>
        <c:scaling>
          <c:orientation val="minMax"/>
        </c:scaling>
        <c:delete val="1"/>
        <c:axPos val="b"/>
        <c:numFmt formatCode="General" sourceLinked="1"/>
        <c:majorTickMark val="none"/>
        <c:minorTickMark val="none"/>
        <c:tickLblPos val="nextTo"/>
        <c:crossAx val="42391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Table!PivotTable12</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Table'!$R$53:$R$56</c:f>
              <c:strCache>
                <c:ptCount val="3"/>
                <c:pt idx="0">
                  <c:v>Siddhu</c:v>
                </c:pt>
                <c:pt idx="1">
                  <c:v>Ramesh</c:v>
                </c:pt>
                <c:pt idx="2">
                  <c:v>Rohit Das</c:v>
                </c:pt>
              </c:strCache>
            </c:strRef>
          </c:cat>
          <c:val>
            <c:numRef>
              <c:f>'Pivot Table'!$S$53:$S$56</c:f>
              <c:numCache>
                <c:formatCode>General</c:formatCode>
                <c:ptCount val="3"/>
                <c:pt idx="0">
                  <c:v>222</c:v>
                </c:pt>
                <c:pt idx="1">
                  <c:v>219</c:v>
                </c:pt>
                <c:pt idx="2">
                  <c:v>217</c:v>
                </c:pt>
              </c:numCache>
            </c:numRef>
          </c:val>
          <c:extLst>
            <c:ext xmlns:c16="http://schemas.microsoft.com/office/drawing/2014/chart" uri="{C3380CC4-5D6E-409C-BE32-E72D297353CC}">
              <c16:uniqueId val="{00000000-9B4F-44A5-A9EA-82AF067734F0}"/>
            </c:ext>
          </c:extLst>
        </c:ser>
        <c:dLbls>
          <c:showLegendKey val="0"/>
          <c:showVal val="0"/>
          <c:showCatName val="0"/>
          <c:showSerName val="0"/>
          <c:showPercent val="0"/>
          <c:showBubbleSize val="0"/>
        </c:dLbls>
        <c:gapWidth val="182"/>
        <c:axId val="423935647"/>
        <c:axId val="423936895"/>
      </c:barChart>
      <c:catAx>
        <c:axId val="42393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936895"/>
        <c:crosses val="autoZero"/>
        <c:auto val="1"/>
        <c:lblAlgn val="ctr"/>
        <c:lblOffset val="100"/>
        <c:noMultiLvlLbl val="0"/>
      </c:catAx>
      <c:valAx>
        <c:axId val="423936895"/>
        <c:scaling>
          <c:orientation val="minMax"/>
        </c:scaling>
        <c:delete val="1"/>
        <c:axPos val="b"/>
        <c:numFmt formatCode="General" sourceLinked="1"/>
        <c:majorTickMark val="none"/>
        <c:minorTickMark val="none"/>
        <c:tickLblPos val="nextTo"/>
        <c:crossAx val="423935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Table!PivotTable13</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Table'!$R$68:$R$74</c:f>
              <c:strCache>
                <c:ptCount val="6"/>
                <c:pt idx="0">
                  <c:v>Ajit Kumar</c:v>
                </c:pt>
                <c:pt idx="1">
                  <c:v>Amit</c:v>
                </c:pt>
                <c:pt idx="2">
                  <c:v>Chandu</c:v>
                </c:pt>
                <c:pt idx="3">
                  <c:v>Ramesh</c:v>
                </c:pt>
                <c:pt idx="4">
                  <c:v>Rohit Das</c:v>
                </c:pt>
                <c:pt idx="5">
                  <c:v>Siddhu</c:v>
                </c:pt>
              </c:strCache>
            </c:strRef>
          </c:cat>
          <c:val>
            <c:numRef>
              <c:f>'Pivot Table'!$S$68:$S$74</c:f>
              <c:numCache>
                <c:formatCode>General</c:formatCode>
                <c:ptCount val="6"/>
                <c:pt idx="0">
                  <c:v>25200</c:v>
                </c:pt>
                <c:pt idx="1">
                  <c:v>87600</c:v>
                </c:pt>
                <c:pt idx="2">
                  <c:v>81600</c:v>
                </c:pt>
                <c:pt idx="3">
                  <c:v>38400</c:v>
                </c:pt>
                <c:pt idx="4">
                  <c:v>57600</c:v>
                </c:pt>
                <c:pt idx="5">
                  <c:v>52800</c:v>
                </c:pt>
              </c:numCache>
            </c:numRef>
          </c:val>
          <c:extLst>
            <c:ext xmlns:c16="http://schemas.microsoft.com/office/drawing/2014/chart" uri="{C3380CC4-5D6E-409C-BE32-E72D297353CC}">
              <c16:uniqueId val="{00000000-EF1D-4423-A692-FBC79EA8809E}"/>
            </c:ext>
          </c:extLst>
        </c:ser>
        <c:dLbls>
          <c:dLblPos val="outEnd"/>
          <c:showLegendKey val="0"/>
          <c:showVal val="1"/>
          <c:showCatName val="0"/>
          <c:showSerName val="0"/>
          <c:showPercent val="0"/>
          <c:showBubbleSize val="0"/>
        </c:dLbls>
        <c:gapWidth val="219"/>
        <c:overlap val="-27"/>
        <c:axId val="428985903"/>
        <c:axId val="428982159"/>
      </c:barChart>
      <c:catAx>
        <c:axId val="42898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982159"/>
        <c:crosses val="autoZero"/>
        <c:auto val="1"/>
        <c:lblAlgn val="ctr"/>
        <c:lblOffset val="100"/>
        <c:noMultiLvlLbl val="0"/>
      </c:catAx>
      <c:valAx>
        <c:axId val="428982159"/>
        <c:scaling>
          <c:orientation val="minMax"/>
        </c:scaling>
        <c:delete val="1"/>
        <c:axPos val="l"/>
        <c:numFmt formatCode="General" sourceLinked="1"/>
        <c:majorTickMark val="none"/>
        <c:minorTickMark val="none"/>
        <c:tickLblPos val="nextTo"/>
        <c:crossAx val="42898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s!A1"/><Relationship Id="rId4" Type="http://schemas.openxmlformats.org/officeDocument/2006/relationships/hyperlink" Target="#Products!A1"/></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Dashboard!A1"/><Relationship Id="rId7" Type="http://schemas.openxmlformats.org/officeDocument/2006/relationships/chart" Target="../charts/chart2.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chart" Target="../charts/chart1.xml"/><Relationship Id="rId5" Type="http://schemas.openxmlformats.org/officeDocument/2006/relationships/hyperlink" Target="#About!A1"/><Relationship Id="rId4" Type="http://schemas.openxmlformats.org/officeDocument/2006/relationships/hyperlink" Target="#Products!A1"/></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s!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5.png"/><Relationship Id="rId7" Type="http://schemas.openxmlformats.org/officeDocument/2006/relationships/hyperlink" Target="#About!A1"/><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Salesmans!A1"/><Relationship Id="rId5" Type="http://schemas.openxmlformats.org/officeDocument/2006/relationships/hyperlink" Target="#Products!A1"/><Relationship Id="rId10" Type="http://schemas.openxmlformats.org/officeDocument/2006/relationships/chart" Target="../charts/chart9.xml"/><Relationship Id="rId4" Type="http://schemas.openxmlformats.org/officeDocument/2006/relationships/image" Target="../media/image6.svg"/><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22087</xdr:colOff>
      <xdr:row>0</xdr:row>
      <xdr:rowOff>82826</xdr:rowOff>
    </xdr:from>
    <xdr:to>
      <xdr:col>18</xdr:col>
      <xdr:colOff>279400</xdr:colOff>
      <xdr:row>26</xdr:row>
      <xdr:rowOff>177800</xdr:rowOff>
    </xdr:to>
    <xdr:sp macro="" textlink="">
      <xdr:nvSpPr>
        <xdr:cNvPr id="2" name="Rectangle: Rounded Corners 1">
          <a:extLst>
            <a:ext uri="{FF2B5EF4-FFF2-40B4-BE49-F238E27FC236}">
              <a16:creationId xmlns:a16="http://schemas.microsoft.com/office/drawing/2014/main" id="{F3265F8F-D289-4590-B1F6-510C5F13F2B4}"/>
            </a:ext>
          </a:extLst>
        </xdr:cNvPr>
        <xdr:cNvSpPr/>
      </xdr:nvSpPr>
      <xdr:spPr>
        <a:xfrm>
          <a:off x="631687" y="82826"/>
          <a:ext cx="10620513" cy="4882874"/>
        </a:xfrm>
        <a:prstGeom prst="roundRect">
          <a:avLst>
            <a:gd name="adj" fmla="val 16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212310</xdr:colOff>
      <xdr:row>0</xdr:row>
      <xdr:rowOff>107949</xdr:rowOff>
    </xdr:from>
    <xdr:to>
      <xdr:col>18</xdr:col>
      <xdr:colOff>234949</xdr:colOff>
      <xdr:row>26</xdr:row>
      <xdr:rowOff>95250</xdr:rowOff>
    </xdr:to>
    <xdr:sp macro="" textlink="">
      <xdr:nvSpPr>
        <xdr:cNvPr id="3" name="Rectangle: Rounded Corners 2">
          <a:extLst>
            <a:ext uri="{FF2B5EF4-FFF2-40B4-BE49-F238E27FC236}">
              <a16:creationId xmlns:a16="http://schemas.microsoft.com/office/drawing/2014/main" id="{115D19B6-35F6-422C-A1C7-1103F0BC662A}"/>
            </a:ext>
          </a:extLst>
        </xdr:cNvPr>
        <xdr:cNvSpPr/>
      </xdr:nvSpPr>
      <xdr:spPr>
        <a:xfrm>
          <a:off x="2041110" y="107949"/>
          <a:ext cx="9166639" cy="4775201"/>
        </a:xfrm>
        <a:prstGeom prst="roundRect">
          <a:avLst>
            <a:gd name="adj" fmla="val 2273"/>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279400</xdr:colOff>
      <xdr:row>1</xdr:row>
      <xdr:rowOff>6073</xdr:rowOff>
    </xdr:from>
    <xdr:to>
      <xdr:col>11</xdr:col>
      <xdr:colOff>449194</xdr:colOff>
      <xdr:row>5</xdr:row>
      <xdr:rowOff>143136</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0585BCE1-3FF6-4EB4-A357-C2DD3A2FB83A}"/>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108200" y="190223"/>
              <a:ext cx="5046594" cy="8736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482600</xdr:colOff>
      <xdr:row>1</xdr:row>
      <xdr:rowOff>6350</xdr:rowOff>
    </xdr:from>
    <xdr:to>
      <xdr:col>18</xdr:col>
      <xdr:colOff>101600</xdr:colOff>
      <xdr:row>5</xdr:row>
      <xdr:rowOff>139699</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2EFFA100-4D35-4780-841A-367174D209C2}"/>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7188200" y="190500"/>
              <a:ext cx="3886200" cy="869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285750</xdr:colOff>
      <xdr:row>6</xdr:row>
      <xdr:rowOff>6350</xdr:rowOff>
    </xdr:from>
    <xdr:to>
      <xdr:col>18</xdr:col>
      <xdr:colOff>139700</xdr:colOff>
      <xdr:row>9</xdr:row>
      <xdr:rowOff>39480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B07BAF26-3976-4F8F-9E9C-CE95644FF1B6}"/>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114550" y="1111250"/>
              <a:ext cx="8997950" cy="585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247650</xdr:colOff>
      <xdr:row>9</xdr:row>
      <xdr:rowOff>69850</xdr:rowOff>
    </xdr:from>
    <xdr:to>
      <xdr:col>4</xdr:col>
      <xdr:colOff>95250</xdr:colOff>
      <xdr:row>11</xdr:row>
      <xdr:rowOff>158750</xdr:rowOff>
    </xdr:to>
    <xdr:pic>
      <xdr:nvPicPr>
        <xdr:cNvPr id="7" name="Graphic 6" descr="User with solid fill">
          <a:extLst>
            <a:ext uri="{FF2B5EF4-FFF2-40B4-BE49-F238E27FC236}">
              <a16:creationId xmlns:a16="http://schemas.microsoft.com/office/drawing/2014/main" id="{11335259-A178-4297-BF62-9929428294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2076450" y="1727200"/>
          <a:ext cx="457200" cy="457200"/>
        </a:xfrm>
        <a:prstGeom prst="rect">
          <a:avLst/>
        </a:prstGeom>
      </xdr:spPr>
    </xdr:pic>
    <xdr:clientData/>
  </xdr:twoCellAnchor>
  <xdr:twoCellAnchor>
    <xdr:from>
      <xdr:col>4</xdr:col>
      <xdr:colOff>44450</xdr:colOff>
      <xdr:row>9</xdr:row>
      <xdr:rowOff>158750</xdr:rowOff>
    </xdr:from>
    <xdr:to>
      <xdr:col>5</xdr:col>
      <xdr:colOff>539750</xdr:colOff>
      <xdr:row>11</xdr:row>
      <xdr:rowOff>146050</xdr:rowOff>
    </xdr:to>
    <xdr:sp macro="" textlink="">
      <xdr:nvSpPr>
        <xdr:cNvPr id="8" name="Rectangle 7">
          <a:extLst>
            <a:ext uri="{FF2B5EF4-FFF2-40B4-BE49-F238E27FC236}">
              <a16:creationId xmlns:a16="http://schemas.microsoft.com/office/drawing/2014/main" id="{68F65DF0-B5CB-4D69-AA54-D970A264F8D6}"/>
            </a:ext>
          </a:extLst>
        </xdr:cNvPr>
        <xdr:cNvSpPr/>
      </xdr:nvSpPr>
      <xdr:spPr>
        <a:xfrm>
          <a:off x="2482850" y="1816100"/>
          <a:ext cx="1104900" cy="355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About</a:t>
          </a:r>
        </a:p>
      </xdr:txBody>
    </xdr:sp>
    <xdr:clientData/>
  </xdr:twoCellAnchor>
  <xdr:twoCellAnchor>
    <xdr:from>
      <xdr:col>3</xdr:col>
      <xdr:colOff>298450</xdr:colOff>
      <xdr:row>11</xdr:row>
      <xdr:rowOff>158750</xdr:rowOff>
    </xdr:from>
    <xdr:to>
      <xdr:col>18</xdr:col>
      <xdr:colOff>146050</xdr:colOff>
      <xdr:row>26</xdr:row>
      <xdr:rowOff>0</xdr:rowOff>
    </xdr:to>
    <xdr:sp macro="" textlink="">
      <xdr:nvSpPr>
        <xdr:cNvPr id="11" name="Rectangle 10">
          <a:extLst>
            <a:ext uri="{FF2B5EF4-FFF2-40B4-BE49-F238E27FC236}">
              <a16:creationId xmlns:a16="http://schemas.microsoft.com/office/drawing/2014/main" id="{28293C51-8210-4242-A46F-87DC4C3ECC49}"/>
            </a:ext>
          </a:extLst>
        </xdr:cNvPr>
        <xdr:cNvSpPr/>
      </xdr:nvSpPr>
      <xdr:spPr>
        <a:xfrm>
          <a:off x="2127250" y="2184400"/>
          <a:ext cx="8991600" cy="2603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76200</xdr:colOff>
      <xdr:row>9</xdr:row>
      <xdr:rowOff>50800</xdr:rowOff>
    </xdr:from>
    <xdr:to>
      <xdr:col>3</xdr:col>
      <xdr:colOff>158750</xdr:colOff>
      <xdr:row>10</xdr:row>
      <xdr:rowOff>171450</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DCC32125-30B0-4CE6-9B5E-45C82E22DBBC}"/>
            </a:ext>
          </a:extLst>
        </xdr:cNvPr>
        <xdr:cNvSpPr/>
      </xdr:nvSpPr>
      <xdr:spPr>
        <a:xfrm>
          <a:off x="685800" y="1708150"/>
          <a:ext cx="1301750" cy="304800"/>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DASHBOARD</a:t>
          </a:r>
        </a:p>
      </xdr:txBody>
    </xdr:sp>
    <xdr:clientData/>
  </xdr:twoCellAnchor>
  <xdr:twoCellAnchor>
    <xdr:from>
      <xdr:col>1</xdr:col>
      <xdr:colOff>76200</xdr:colOff>
      <xdr:row>11</xdr:row>
      <xdr:rowOff>88900</xdr:rowOff>
    </xdr:from>
    <xdr:to>
      <xdr:col>3</xdr:col>
      <xdr:colOff>158750</xdr:colOff>
      <xdr:row>13</xdr:row>
      <xdr:rowOff>25400</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45863201-05CC-4E8D-93D8-836647972A18}"/>
            </a:ext>
          </a:extLst>
        </xdr:cNvPr>
        <xdr:cNvSpPr/>
      </xdr:nvSpPr>
      <xdr:spPr>
        <a:xfrm>
          <a:off x="685800" y="2114550"/>
          <a:ext cx="1301750" cy="304800"/>
        </a:xfrm>
        <a:prstGeom prst="roundRect">
          <a:avLst>
            <a:gd name="adj" fmla="val 50000"/>
          </a:avLst>
        </a:prstGeom>
        <a:solidFill>
          <a:schemeClr val="accent1"/>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PRODUCTS</a:t>
          </a:r>
        </a:p>
      </xdr:txBody>
    </xdr:sp>
    <xdr:clientData/>
  </xdr:twoCellAnchor>
  <xdr:twoCellAnchor>
    <xdr:from>
      <xdr:col>1</xdr:col>
      <xdr:colOff>82550</xdr:colOff>
      <xdr:row>13</xdr:row>
      <xdr:rowOff>139700</xdr:rowOff>
    </xdr:from>
    <xdr:to>
      <xdr:col>3</xdr:col>
      <xdr:colOff>165100</xdr:colOff>
      <xdr:row>15</xdr:row>
      <xdr:rowOff>76200</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4E3C64A6-4BDA-4CC2-A8A0-8A4C5CAE257C}"/>
            </a:ext>
          </a:extLst>
        </xdr:cNvPr>
        <xdr:cNvSpPr/>
      </xdr:nvSpPr>
      <xdr:spPr>
        <a:xfrm>
          <a:off x="692150" y="2533650"/>
          <a:ext cx="1301750" cy="304800"/>
        </a:xfrm>
        <a:prstGeom prst="roundRect">
          <a:avLst>
            <a:gd name="adj" fmla="val 50000"/>
          </a:avLst>
        </a:prstGeom>
        <a:solidFill>
          <a:schemeClr val="accent1"/>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SALESMANS</a:t>
          </a:r>
        </a:p>
      </xdr:txBody>
    </xdr:sp>
    <xdr:clientData/>
  </xdr:twoCellAnchor>
  <xdr:twoCellAnchor>
    <xdr:from>
      <xdr:col>1</xdr:col>
      <xdr:colOff>63500</xdr:colOff>
      <xdr:row>16</xdr:row>
      <xdr:rowOff>6350</xdr:rowOff>
    </xdr:from>
    <xdr:to>
      <xdr:col>3</xdr:col>
      <xdr:colOff>146050</xdr:colOff>
      <xdr:row>17</xdr:row>
      <xdr:rowOff>127000</xdr:rowOff>
    </xdr:to>
    <xdr:sp macro="" textlink="">
      <xdr:nvSpPr>
        <xdr:cNvPr id="18" name="Rectangle: Rounded Corners 17">
          <a:hlinkClick xmlns:r="http://schemas.openxmlformats.org/officeDocument/2006/relationships" r:id="rId6"/>
          <a:extLst>
            <a:ext uri="{FF2B5EF4-FFF2-40B4-BE49-F238E27FC236}">
              <a16:creationId xmlns:a16="http://schemas.microsoft.com/office/drawing/2014/main" id="{75CD5FD1-1D1F-4F65-8F7C-05338F586BA9}"/>
            </a:ext>
          </a:extLst>
        </xdr:cNvPr>
        <xdr:cNvSpPr/>
      </xdr:nvSpPr>
      <xdr:spPr>
        <a:xfrm>
          <a:off x="673100" y="2952750"/>
          <a:ext cx="1301750" cy="304800"/>
        </a:xfrm>
        <a:prstGeom prst="roundRect">
          <a:avLst>
            <a:gd name="adj" fmla="val 50000"/>
          </a:avLst>
        </a:prstGeom>
        <a:solidFill>
          <a:schemeClr val="accent1"/>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ABOUT</a:t>
          </a:r>
        </a:p>
      </xdr:txBody>
    </xdr:sp>
    <xdr:clientData/>
  </xdr:twoCellAnchor>
  <xdr:twoCellAnchor>
    <xdr:from>
      <xdr:col>6</xdr:col>
      <xdr:colOff>69850</xdr:colOff>
      <xdr:row>9</xdr:row>
      <xdr:rowOff>95250</xdr:rowOff>
    </xdr:from>
    <xdr:to>
      <xdr:col>7</xdr:col>
      <xdr:colOff>539750</xdr:colOff>
      <xdr:row>11</xdr:row>
      <xdr:rowOff>19050</xdr:rowOff>
    </xdr:to>
    <xdr:sp macro="" textlink="">
      <xdr:nvSpPr>
        <xdr:cNvPr id="20" name="TextBox 19">
          <a:extLst>
            <a:ext uri="{FF2B5EF4-FFF2-40B4-BE49-F238E27FC236}">
              <a16:creationId xmlns:a16="http://schemas.microsoft.com/office/drawing/2014/main" id="{95AC2FCF-DD98-4C3D-BDE2-9AC43A8BF212}"/>
            </a:ext>
          </a:extLst>
        </xdr:cNvPr>
        <xdr:cNvSpPr txBox="1"/>
      </xdr:nvSpPr>
      <xdr:spPr>
        <a:xfrm>
          <a:off x="3727450" y="1752600"/>
          <a:ext cx="1079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p>
      </xdr:txBody>
    </xdr:sp>
    <xdr:clientData/>
  </xdr:twoCellAnchor>
  <xdr:twoCellAnchor>
    <xdr:from>
      <xdr:col>3</xdr:col>
      <xdr:colOff>368300</xdr:colOff>
      <xdr:row>12</xdr:row>
      <xdr:rowOff>57150</xdr:rowOff>
    </xdr:from>
    <xdr:to>
      <xdr:col>18</xdr:col>
      <xdr:colOff>50800</xdr:colOff>
      <xdr:row>25</xdr:row>
      <xdr:rowOff>107950</xdr:rowOff>
    </xdr:to>
    <xdr:sp macro="" textlink="">
      <xdr:nvSpPr>
        <xdr:cNvPr id="24" name="TextBox 23">
          <a:extLst>
            <a:ext uri="{FF2B5EF4-FFF2-40B4-BE49-F238E27FC236}">
              <a16:creationId xmlns:a16="http://schemas.microsoft.com/office/drawing/2014/main" id="{6A1F68B6-494C-4AA3-BC78-658ED512304F}"/>
            </a:ext>
          </a:extLst>
        </xdr:cNvPr>
        <xdr:cNvSpPr txBox="1"/>
      </xdr:nvSpPr>
      <xdr:spPr>
        <a:xfrm>
          <a:off x="2197100" y="2266950"/>
          <a:ext cx="8826500" cy="2444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OVERVIEW:</a:t>
          </a:r>
        </a:p>
        <a:p>
          <a:br>
            <a:rPr lang="en-IN"/>
          </a:br>
          <a:r>
            <a:rPr lang="en-IN"/>
            <a:t>Interactive Excel Sales Dashboard to analyze revenue, trends, and performance across regions and products using dynamic filters.</a:t>
          </a:r>
        </a:p>
        <a:p>
          <a:endParaRPr lang="en-IN"/>
        </a:p>
        <a:p>
          <a:r>
            <a:rPr lang="en-IN" sz="1200" b="1"/>
            <a:t>KEY INSIGHTS:</a:t>
          </a:r>
        </a:p>
        <a:p>
          <a:br>
            <a:rPr lang="en-IN"/>
          </a:br>
          <a:r>
            <a:rPr lang="en-IN"/>
            <a:t>• Total revenue: ₹14,39,670</a:t>
          </a:r>
          <a:br>
            <a:rPr lang="en-IN"/>
          </a:br>
          <a:r>
            <a:rPr lang="en-IN"/>
            <a:t>• South &amp; West are top-performing regions</a:t>
          </a:r>
          <a:br>
            <a:rPr lang="en-IN"/>
          </a:br>
          <a:r>
            <a:rPr lang="en-IN"/>
            <a:t>• Printer is the highest revenue-generating product</a:t>
          </a:r>
          <a:br>
            <a:rPr lang="en-IN"/>
          </a:br>
          <a:r>
            <a:rPr lang="en-IN"/>
            <a:t>• Sales peak in July–August, lowest in April</a:t>
          </a:r>
        </a:p>
        <a:p>
          <a:endParaRPr lang="en-IN"/>
        </a:p>
        <a:p>
          <a:r>
            <a:rPr lang="en-IN" b="1"/>
            <a:t>Ayush Mahale | Aspiring Data Analyst | Excel, SQL, Power BI</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22087</xdr:colOff>
      <xdr:row>0</xdr:row>
      <xdr:rowOff>82826</xdr:rowOff>
    </xdr:from>
    <xdr:to>
      <xdr:col>18</xdr:col>
      <xdr:colOff>279400</xdr:colOff>
      <xdr:row>26</xdr:row>
      <xdr:rowOff>177800</xdr:rowOff>
    </xdr:to>
    <xdr:sp macro="" textlink="">
      <xdr:nvSpPr>
        <xdr:cNvPr id="2" name="Rectangle: Rounded Corners 1">
          <a:extLst>
            <a:ext uri="{FF2B5EF4-FFF2-40B4-BE49-F238E27FC236}">
              <a16:creationId xmlns:a16="http://schemas.microsoft.com/office/drawing/2014/main" id="{D5302EF6-AC66-4292-A30D-89CA1F97F54F}"/>
            </a:ext>
          </a:extLst>
        </xdr:cNvPr>
        <xdr:cNvSpPr/>
      </xdr:nvSpPr>
      <xdr:spPr>
        <a:xfrm>
          <a:off x="631687" y="82826"/>
          <a:ext cx="10620513" cy="4882874"/>
        </a:xfrm>
        <a:prstGeom prst="roundRect">
          <a:avLst>
            <a:gd name="adj" fmla="val 16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212310</xdr:colOff>
      <xdr:row>0</xdr:row>
      <xdr:rowOff>107949</xdr:rowOff>
    </xdr:from>
    <xdr:to>
      <xdr:col>18</xdr:col>
      <xdr:colOff>234949</xdr:colOff>
      <xdr:row>26</xdr:row>
      <xdr:rowOff>95250</xdr:rowOff>
    </xdr:to>
    <xdr:sp macro="" textlink="">
      <xdr:nvSpPr>
        <xdr:cNvPr id="3" name="Rectangle: Rounded Corners 2">
          <a:extLst>
            <a:ext uri="{FF2B5EF4-FFF2-40B4-BE49-F238E27FC236}">
              <a16:creationId xmlns:a16="http://schemas.microsoft.com/office/drawing/2014/main" id="{DCF7B1B5-672B-4AB0-BCE6-C6D4E0DFD8A1}"/>
            </a:ext>
          </a:extLst>
        </xdr:cNvPr>
        <xdr:cNvSpPr/>
      </xdr:nvSpPr>
      <xdr:spPr>
        <a:xfrm>
          <a:off x="2041110" y="107949"/>
          <a:ext cx="9166639" cy="4775201"/>
        </a:xfrm>
        <a:prstGeom prst="roundRect">
          <a:avLst>
            <a:gd name="adj" fmla="val 2273"/>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279400</xdr:colOff>
      <xdr:row>1</xdr:row>
      <xdr:rowOff>6073</xdr:rowOff>
    </xdr:from>
    <xdr:to>
      <xdr:col>11</xdr:col>
      <xdr:colOff>449194</xdr:colOff>
      <xdr:row>5</xdr:row>
      <xdr:rowOff>143136</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98DA9761-00A1-41C1-AD45-8EADE98F228A}"/>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108200" y="190223"/>
              <a:ext cx="5046594" cy="8736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482600</xdr:colOff>
      <xdr:row>1</xdr:row>
      <xdr:rowOff>6350</xdr:rowOff>
    </xdr:from>
    <xdr:to>
      <xdr:col>18</xdr:col>
      <xdr:colOff>101600</xdr:colOff>
      <xdr:row>5</xdr:row>
      <xdr:rowOff>139699</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23786A0F-2A3F-4BB3-AE4D-A7EAE4B1C9D1}"/>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188200" y="190500"/>
              <a:ext cx="3886200" cy="869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285750</xdr:colOff>
      <xdr:row>6</xdr:row>
      <xdr:rowOff>6350</xdr:rowOff>
    </xdr:from>
    <xdr:to>
      <xdr:col>18</xdr:col>
      <xdr:colOff>139700</xdr:colOff>
      <xdr:row>9</xdr:row>
      <xdr:rowOff>39480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26971FEF-C32A-4441-BB9D-24500B892078}"/>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114550" y="1111250"/>
              <a:ext cx="8997950" cy="585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247650</xdr:colOff>
      <xdr:row>9</xdr:row>
      <xdr:rowOff>69850</xdr:rowOff>
    </xdr:from>
    <xdr:to>
      <xdr:col>4</xdr:col>
      <xdr:colOff>95250</xdr:colOff>
      <xdr:row>11</xdr:row>
      <xdr:rowOff>158750</xdr:rowOff>
    </xdr:to>
    <xdr:pic>
      <xdr:nvPicPr>
        <xdr:cNvPr id="7" name="Graphic 6" descr="Bar chart with solid fill">
          <a:extLst>
            <a:ext uri="{FF2B5EF4-FFF2-40B4-BE49-F238E27FC236}">
              <a16:creationId xmlns:a16="http://schemas.microsoft.com/office/drawing/2014/main" id="{09B1DA32-B157-4BB8-A1D8-91A16CC0EB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76450" y="1727200"/>
          <a:ext cx="457200" cy="457200"/>
        </a:xfrm>
        <a:prstGeom prst="rect">
          <a:avLst/>
        </a:prstGeom>
      </xdr:spPr>
    </xdr:pic>
    <xdr:clientData/>
  </xdr:twoCellAnchor>
  <xdr:twoCellAnchor>
    <xdr:from>
      <xdr:col>4</xdr:col>
      <xdr:colOff>44450</xdr:colOff>
      <xdr:row>9</xdr:row>
      <xdr:rowOff>158750</xdr:rowOff>
    </xdr:from>
    <xdr:to>
      <xdr:col>5</xdr:col>
      <xdr:colOff>539750</xdr:colOff>
      <xdr:row>11</xdr:row>
      <xdr:rowOff>146050</xdr:rowOff>
    </xdr:to>
    <xdr:sp macro="" textlink="">
      <xdr:nvSpPr>
        <xdr:cNvPr id="8" name="Rectangle 7">
          <a:extLst>
            <a:ext uri="{FF2B5EF4-FFF2-40B4-BE49-F238E27FC236}">
              <a16:creationId xmlns:a16="http://schemas.microsoft.com/office/drawing/2014/main" id="{1FDC1773-A4D3-4062-BE92-0AEFB53570FC}"/>
            </a:ext>
          </a:extLst>
        </xdr:cNvPr>
        <xdr:cNvSpPr/>
      </xdr:nvSpPr>
      <xdr:spPr>
        <a:xfrm>
          <a:off x="2482850" y="1816100"/>
          <a:ext cx="1104900" cy="355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Analytics</a:t>
          </a:r>
        </a:p>
      </xdr:txBody>
    </xdr:sp>
    <xdr:clientData/>
  </xdr:twoCellAnchor>
  <xdr:twoCellAnchor>
    <xdr:from>
      <xdr:col>10</xdr:col>
      <xdr:colOff>520700</xdr:colOff>
      <xdr:row>19</xdr:row>
      <xdr:rowOff>57150</xdr:rowOff>
    </xdr:from>
    <xdr:to>
      <xdr:col>18</xdr:col>
      <xdr:colOff>152400</xdr:colOff>
      <xdr:row>26</xdr:row>
      <xdr:rowOff>15800</xdr:rowOff>
    </xdr:to>
    <xdr:sp macro="" textlink="">
      <xdr:nvSpPr>
        <xdr:cNvPr id="9" name="Rectangle 8">
          <a:extLst>
            <a:ext uri="{FF2B5EF4-FFF2-40B4-BE49-F238E27FC236}">
              <a16:creationId xmlns:a16="http://schemas.microsoft.com/office/drawing/2014/main" id="{3044F1AF-DD56-4988-861E-E8EE994F9DE9}"/>
            </a:ext>
          </a:extLst>
        </xdr:cNvPr>
        <xdr:cNvSpPr/>
      </xdr:nvSpPr>
      <xdr:spPr>
        <a:xfrm>
          <a:off x="6616700" y="3556000"/>
          <a:ext cx="4508500" cy="1247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527050</xdr:colOff>
      <xdr:row>11</xdr:row>
      <xdr:rowOff>171450</xdr:rowOff>
    </xdr:from>
    <xdr:to>
      <xdr:col>18</xdr:col>
      <xdr:colOff>69850</xdr:colOff>
      <xdr:row>18</xdr:row>
      <xdr:rowOff>177800</xdr:rowOff>
    </xdr:to>
    <xdr:sp macro="" textlink="">
      <xdr:nvSpPr>
        <xdr:cNvPr id="10" name="Rectangle 9">
          <a:extLst>
            <a:ext uri="{FF2B5EF4-FFF2-40B4-BE49-F238E27FC236}">
              <a16:creationId xmlns:a16="http://schemas.microsoft.com/office/drawing/2014/main" id="{A24098F7-2215-4784-B7B3-73A402C0D4FD}"/>
            </a:ext>
          </a:extLst>
        </xdr:cNvPr>
        <xdr:cNvSpPr/>
      </xdr:nvSpPr>
      <xdr:spPr>
        <a:xfrm>
          <a:off x="6623050" y="2197100"/>
          <a:ext cx="4419600" cy="1295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298450</xdr:colOff>
      <xdr:row>11</xdr:row>
      <xdr:rowOff>158750</xdr:rowOff>
    </xdr:from>
    <xdr:to>
      <xdr:col>10</xdr:col>
      <xdr:colOff>450850</xdr:colOff>
      <xdr:row>26</xdr:row>
      <xdr:rowOff>0</xdr:rowOff>
    </xdr:to>
    <xdr:sp macro="" textlink="">
      <xdr:nvSpPr>
        <xdr:cNvPr id="11" name="Rectangle 10">
          <a:extLst>
            <a:ext uri="{FF2B5EF4-FFF2-40B4-BE49-F238E27FC236}">
              <a16:creationId xmlns:a16="http://schemas.microsoft.com/office/drawing/2014/main" id="{7D9206A2-79DF-40A0-A747-07616C1C2338}"/>
            </a:ext>
          </a:extLst>
        </xdr:cNvPr>
        <xdr:cNvSpPr/>
      </xdr:nvSpPr>
      <xdr:spPr>
        <a:xfrm>
          <a:off x="2127250" y="2184400"/>
          <a:ext cx="4419600" cy="2603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438150</xdr:colOff>
      <xdr:row>12</xdr:row>
      <xdr:rowOff>25400</xdr:rowOff>
    </xdr:from>
    <xdr:to>
      <xdr:col>4</xdr:col>
      <xdr:colOff>171450</xdr:colOff>
      <xdr:row>15</xdr:row>
      <xdr:rowOff>19050</xdr:rowOff>
    </xdr:to>
    <xdr:sp macro="" textlink="">
      <xdr:nvSpPr>
        <xdr:cNvPr id="12" name="Text Box 2">
          <a:extLst>
            <a:ext uri="{FF2B5EF4-FFF2-40B4-BE49-F238E27FC236}">
              <a16:creationId xmlns:a16="http://schemas.microsoft.com/office/drawing/2014/main" id="{2584B2DF-0BC5-46C5-8E37-39CF3853E61F}"/>
            </a:ext>
          </a:extLst>
        </xdr:cNvPr>
        <xdr:cNvSpPr txBox="1">
          <a:spLocks noChangeArrowheads="1"/>
        </xdr:cNvSpPr>
      </xdr:nvSpPr>
      <xdr:spPr bwMode="auto">
        <a:xfrm>
          <a:off x="2266950" y="2235200"/>
          <a:ext cx="342900" cy="546100"/>
        </a:xfrm>
        <a:prstGeom prst="rect">
          <a:avLst/>
        </a:prstGeom>
        <a:noFill/>
        <a:ln w="9525">
          <a:noFill/>
          <a:miter lim="800000"/>
          <a:headEnd/>
          <a:tailEnd/>
        </a:ln>
      </xdr:spPr>
      <xdr:txBody>
        <a:bodyPr vertOverflow="clip" wrap="square" lIns="36576" tIns="36576" rIns="0" bIns="0" anchor="t" upright="1"/>
        <a:lstStyle/>
        <a:p>
          <a:pPr algn="l" rtl="0">
            <a:defRPr sz="1000"/>
          </a:pPr>
          <a:endParaRPr lang="en-IN" sz="3600" b="0" i="0" u="none" strike="noStrike" baseline="0">
            <a:ln>
              <a:noFill/>
            </a:ln>
            <a:solidFill>
              <a:srgbClr val="00B050"/>
            </a:solidFill>
            <a:latin typeface="Calibri"/>
            <a:ea typeface="Calibri"/>
            <a:cs typeface="Calibri"/>
          </a:endParaRPr>
        </a:p>
      </xdr:txBody>
    </xdr:sp>
    <xdr:clientData/>
  </xdr:twoCellAnchor>
  <xdr:twoCellAnchor>
    <xdr:from>
      <xdr:col>10</xdr:col>
      <xdr:colOff>533400</xdr:colOff>
      <xdr:row>11</xdr:row>
      <xdr:rowOff>177800</xdr:rowOff>
    </xdr:from>
    <xdr:to>
      <xdr:col>14</xdr:col>
      <xdr:colOff>69850</xdr:colOff>
      <xdr:row>13</xdr:row>
      <xdr:rowOff>101600</xdr:rowOff>
    </xdr:to>
    <xdr:sp macro="" textlink="">
      <xdr:nvSpPr>
        <xdr:cNvPr id="13" name="TextBox 12">
          <a:extLst>
            <a:ext uri="{FF2B5EF4-FFF2-40B4-BE49-F238E27FC236}">
              <a16:creationId xmlns:a16="http://schemas.microsoft.com/office/drawing/2014/main" id="{580C5D79-86B6-49A0-8380-AB6547B87364}"/>
            </a:ext>
          </a:extLst>
        </xdr:cNvPr>
        <xdr:cNvSpPr txBox="1"/>
      </xdr:nvSpPr>
      <xdr:spPr>
        <a:xfrm>
          <a:off x="6629400" y="2203450"/>
          <a:ext cx="19748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a:t>
          </a:r>
          <a:r>
            <a:rPr lang="en-IN" sz="1200" b="1" baseline="0"/>
            <a:t> Performing 3 Salesman</a:t>
          </a:r>
          <a:endParaRPr lang="en-IN" sz="1200" b="1"/>
        </a:p>
      </xdr:txBody>
    </xdr:sp>
    <xdr:clientData/>
  </xdr:twoCellAnchor>
  <xdr:twoCellAnchor>
    <xdr:from>
      <xdr:col>10</xdr:col>
      <xdr:colOff>514350</xdr:colOff>
      <xdr:row>19</xdr:row>
      <xdr:rowOff>57150</xdr:rowOff>
    </xdr:from>
    <xdr:to>
      <xdr:col>14</xdr:col>
      <xdr:colOff>209550</xdr:colOff>
      <xdr:row>20</xdr:row>
      <xdr:rowOff>165100</xdr:rowOff>
    </xdr:to>
    <xdr:sp macro="" textlink="">
      <xdr:nvSpPr>
        <xdr:cNvPr id="14" name="TextBox 13">
          <a:extLst>
            <a:ext uri="{FF2B5EF4-FFF2-40B4-BE49-F238E27FC236}">
              <a16:creationId xmlns:a16="http://schemas.microsoft.com/office/drawing/2014/main" id="{4D7FAABA-C84C-45B4-A17E-2D86D0323F7A}"/>
            </a:ext>
          </a:extLst>
        </xdr:cNvPr>
        <xdr:cNvSpPr txBox="1"/>
      </xdr:nvSpPr>
      <xdr:spPr>
        <a:xfrm>
          <a:off x="6610350" y="3556000"/>
          <a:ext cx="21336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Poor</a:t>
          </a:r>
          <a:r>
            <a:rPr lang="en-IN" sz="1200" b="1" baseline="0"/>
            <a:t> Performing 3 Salesman</a:t>
          </a:r>
          <a:endParaRPr lang="en-IN" sz="1200" b="1"/>
        </a:p>
      </xdr:txBody>
    </xdr:sp>
    <xdr:clientData/>
  </xdr:twoCellAnchor>
  <xdr:twoCellAnchor>
    <xdr:from>
      <xdr:col>1</xdr:col>
      <xdr:colOff>76200</xdr:colOff>
      <xdr:row>9</xdr:row>
      <xdr:rowOff>50800</xdr:rowOff>
    </xdr:from>
    <xdr:to>
      <xdr:col>3</xdr:col>
      <xdr:colOff>158750</xdr:colOff>
      <xdr:row>10</xdr:row>
      <xdr:rowOff>171450</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99DA899A-38DA-47A2-871B-BEF5CCCC834B}"/>
            </a:ext>
          </a:extLst>
        </xdr:cNvPr>
        <xdr:cNvSpPr/>
      </xdr:nvSpPr>
      <xdr:spPr>
        <a:xfrm>
          <a:off x="685800" y="1708150"/>
          <a:ext cx="1301750" cy="304800"/>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DASHBOARD</a:t>
          </a:r>
        </a:p>
      </xdr:txBody>
    </xdr:sp>
    <xdr:clientData/>
  </xdr:twoCellAnchor>
  <xdr:twoCellAnchor>
    <xdr:from>
      <xdr:col>1</xdr:col>
      <xdr:colOff>76200</xdr:colOff>
      <xdr:row>11</xdr:row>
      <xdr:rowOff>88900</xdr:rowOff>
    </xdr:from>
    <xdr:to>
      <xdr:col>3</xdr:col>
      <xdr:colOff>158750</xdr:colOff>
      <xdr:row>13</xdr:row>
      <xdr:rowOff>25400</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351411F4-C611-4689-91F7-994638049338}"/>
            </a:ext>
          </a:extLst>
        </xdr:cNvPr>
        <xdr:cNvSpPr/>
      </xdr:nvSpPr>
      <xdr:spPr>
        <a:xfrm>
          <a:off x="685800" y="2114550"/>
          <a:ext cx="1301750" cy="304800"/>
        </a:xfrm>
        <a:prstGeom prst="roundRect">
          <a:avLst>
            <a:gd name="adj" fmla="val 50000"/>
          </a:avLst>
        </a:prstGeom>
        <a:solidFill>
          <a:schemeClr val="accent1"/>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PRODUCTS</a:t>
          </a:r>
        </a:p>
      </xdr:txBody>
    </xdr:sp>
    <xdr:clientData/>
  </xdr:twoCellAnchor>
  <xdr:twoCellAnchor>
    <xdr:from>
      <xdr:col>1</xdr:col>
      <xdr:colOff>82550</xdr:colOff>
      <xdr:row>13</xdr:row>
      <xdr:rowOff>139700</xdr:rowOff>
    </xdr:from>
    <xdr:to>
      <xdr:col>3</xdr:col>
      <xdr:colOff>165100</xdr:colOff>
      <xdr:row>15</xdr:row>
      <xdr:rowOff>76200</xdr:rowOff>
    </xdr:to>
    <xdr:sp macro="" textlink="">
      <xdr:nvSpPr>
        <xdr:cNvPr id="17" name="Rectangle: Rounded Corners 16">
          <a:extLst>
            <a:ext uri="{FF2B5EF4-FFF2-40B4-BE49-F238E27FC236}">
              <a16:creationId xmlns:a16="http://schemas.microsoft.com/office/drawing/2014/main" id="{BA327525-1C78-4816-8A16-9C1F4DADCEB0}"/>
            </a:ext>
          </a:extLst>
        </xdr:cNvPr>
        <xdr:cNvSpPr/>
      </xdr:nvSpPr>
      <xdr:spPr>
        <a:xfrm>
          <a:off x="692150" y="2533650"/>
          <a:ext cx="1301750" cy="304800"/>
        </a:xfrm>
        <a:prstGeom prst="roundRect">
          <a:avLst>
            <a:gd name="adj" fmla="val 50000"/>
          </a:avLst>
        </a:prstGeom>
        <a:solidFill>
          <a:schemeClr val="accent1"/>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SALESMANS</a:t>
          </a:r>
        </a:p>
      </xdr:txBody>
    </xdr:sp>
    <xdr:clientData/>
  </xdr:twoCellAnchor>
  <xdr:twoCellAnchor>
    <xdr:from>
      <xdr:col>1</xdr:col>
      <xdr:colOff>63500</xdr:colOff>
      <xdr:row>16</xdr:row>
      <xdr:rowOff>6350</xdr:rowOff>
    </xdr:from>
    <xdr:to>
      <xdr:col>3</xdr:col>
      <xdr:colOff>146050</xdr:colOff>
      <xdr:row>17</xdr:row>
      <xdr:rowOff>127000</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F2B78368-7C94-4CC1-AC87-32006764EB83}"/>
            </a:ext>
          </a:extLst>
        </xdr:cNvPr>
        <xdr:cNvSpPr/>
      </xdr:nvSpPr>
      <xdr:spPr>
        <a:xfrm>
          <a:off x="673100" y="2952750"/>
          <a:ext cx="1301750" cy="304800"/>
        </a:xfrm>
        <a:prstGeom prst="roundRect">
          <a:avLst>
            <a:gd name="adj" fmla="val 50000"/>
          </a:avLst>
        </a:prstGeom>
        <a:solidFill>
          <a:schemeClr val="accent1"/>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ABOUT</a:t>
          </a:r>
        </a:p>
      </xdr:txBody>
    </xdr:sp>
    <xdr:clientData/>
  </xdr:twoCellAnchor>
  <xdr:twoCellAnchor>
    <xdr:from>
      <xdr:col>3</xdr:col>
      <xdr:colOff>311150</xdr:colOff>
      <xdr:row>12</xdr:row>
      <xdr:rowOff>6350</xdr:rowOff>
    </xdr:from>
    <xdr:to>
      <xdr:col>5</xdr:col>
      <xdr:colOff>406400</xdr:colOff>
      <xdr:row>13</xdr:row>
      <xdr:rowOff>114300</xdr:rowOff>
    </xdr:to>
    <xdr:sp macro="" textlink="">
      <xdr:nvSpPr>
        <xdr:cNvPr id="19" name="TextBox 18">
          <a:extLst>
            <a:ext uri="{FF2B5EF4-FFF2-40B4-BE49-F238E27FC236}">
              <a16:creationId xmlns:a16="http://schemas.microsoft.com/office/drawing/2014/main" id="{37F3E80C-68F0-46AF-BA02-5577CDE9F4DC}"/>
            </a:ext>
          </a:extLst>
        </xdr:cNvPr>
        <xdr:cNvSpPr txBox="1"/>
      </xdr:nvSpPr>
      <xdr:spPr>
        <a:xfrm>
          <a:off x="2139950" y="2216150"/>
          <a:ext cx="13144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Sale</a:t>
          </a:r>
          <a:r>
            <a:rPr lang="en-IN" sz="1200" b="1" baseline="0"/>
            <a:t> By Salesman</a:t>
          </a:r>
          <a:endParaRPr lang="en-IN" sz="1200" b="1"/>
        </a:p>
      </xdr:txBody>
    </xdr:sp>
    <xdr:clientData/>
  </xdr:twoCellAnchor>
  <xdr:twoCellAnchor>
    <xdr:from>
      <xdr:col>6</xdr:col>
      <xdr:colOff>69850</xdr:colOff>
      <xdr:row>9</xdr:row>
      <xdr:rowOff>95250</xdr:rowOff>
    </xdr:from>
    <xdr:to>
      <xdr:col>7</xdr:col>
      <xdr:colOff>539750</xdr:colOff>
      <xdr:row>11</xdr:row>
      <xdr:rowOff>19050</xdr:rowOff>
    </xdr:to>
    <xdr:sp macro="" textlink="">
      <xdr:nvSpPr>
        <xdr:cNvPr id="20" name="TextBox 19">
          <a:extLst>
            <a:ext uri="{FF2B5EF4-FFF2-40B4-BE49-F238E27FC236}">
              <a16:creationId xmlns:a16="http://schemas.microsoft.com/office/drawing/2014/main" id="{92CBB6C0-0B04-4D0E-8084-A9C85ED043A2}"/>
            </a:ext>
          </a:extLst>
        </xdr:cNvPr>
        <xdr:cNvSpPr txBox="1"/>
      </xdr:nvSpPr>
      <xdr:spPr>
        <a:xfrm>
          <a:off x="3727450" y="1752600"/>
          <a:ext cx="1079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p>
      </xdr:txBody>
    </xdr:sp>
    <xdr:clientData/>
  </xdr:twoCellAnchor>
  <xdr:twoCellAnchor>
    <xdr:from>
      <xdr:col>10</xdr:col>
      <xdr:colOff>514350</xdr:colOff>
      <xdr:row>13</xdr:row>
      <xdr:rowOff>95250</xdr:rowOff>
    </xdr:from>
    <xdr:to>
      <xdr:col>17</xdr:col>
      <xdr:colOff>488950</xdr:colOff>
      <xdr:row>19</xdr:row>
      <xdr:rowOff>0</xdr:rowOff>
    </xdr:to>
    <xdr:graphicFrame macro="">
      <xdr:nvGraphicFramePr>
        <xdr:cNvPr id="24" name="Chart 23">
          <a:extLst>
            <a:ext uri="{FF2B5EF4-FFF2-40B4-BE49-F238E27FC236}">
              <a16:creationId xmlns:a16="http://schemas.microsoft.com/office/drawing/2014/main" id="{6896D5B9-84C2-4BA8-A964-CF234F85E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584200</xdr:colOff>
      <xdr:row>20</xdr:row>
      <xdr:rowOff>146050</xdr:rowOff>
    </xdr:from>
    <xdr:to>
      <xdr:col>18</xdr:col>
      <xdr:colOff>0</xdr:colOff>
      <xdr:row>25</xdr:row>
      <xdr:rowOff>177800</xdr:rowOff>
    </xdr:to>
    <xdr:graphicFrame macro="">
      <xdr:nvGraphicFramePr>
        <xdr:cNvPr id="25" name="Chart 24">
          <a:extLst>
            <a:ext uri="{FF2B5EF4-FFF2-40B4-BE49-F238E27FC236}">
              <a16:creationId xmlns:a16="http://schemas.microsoft.com/office/drawing/2014/main" id="{05BBA847-C727-41A6-B277-86F503CA9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311150</xdr:colOff>
      <xdr:row>13</xdr:row>
      <xdr:rowOff>146050</xdr:rowOff>
    </xdr:from>
    <xdr:to>
      <xdr:col>10</xdr:col>
      <xdr:colOff>419100</xdr:colOff>
      <xdr:row>25</xdr:row>
      <xdr:rowOff>19050</xdr:rowOff>
    </xdr:to>
    <xdr:graphicFrame macro="">
      <xdr:nvGraphicFramePr>
        <xdr:cNvPr id="26" name="Chart 25">
          <a:extLst>
            <a:ext uri="{FF2B5EF4-FFF2-40B4-BE49-F238E27FC236}">
              <a16:creationId xmlns:a16="http://schemas.microsoft.com/office/drawing/2014/main" id="{EE2EC54C-6B05-4FA5-98E2-AC4AEFDFC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22087</xdr:colOff>
      <xdr:row>0</xdr:row>
      <xdr:rowOff>82826</xdr:rowOff>
    </xdr:from>
    <xdr:to>
      <xdr:col>18</xdr:col>
      <xdr:colOff>279400</xdr:colOff>
      <xdr:row>26</xdr:row>
      <xdr:rowOff>177800</xdr:rowOff>
    </xdr:to>
    <xdr:sp macro="" textlink="">
      <xdr:nvSpPr>
        <xdr:cNvPr id="2" name="Rectangle: Rounded Corners 1">
          <a:extLst>
            <a:ext uri="{FF2B5EF4-FFF2-40B4-BE49-F238E27FC236}">
              <a16:creationId xmlns:a16="http://schemas.microsoft.com/office/drawing/2014/main" id="{9AE1BD89-EC98-4C1D-A631-0E38D869636F}"/>
            </a:ext>
          </a:extLst>
        </xdr:cNvPr>
        <xdr:cNvSpPr/>
      </xdr:nvSpPr>
      <xdr:spPr>
        <a:xfrm>
          <a:off x="631687" y="82826"/>
          <a:ext cx="10620513" cy="4882874"/>
        </a:xfrm>
        <a:prstGeom prst="roundRect">
          <a:avLst>
            <a:gd name="adj" fmla="val 16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212310</xdr:colOff>
      <xdr:row>0</xdr:row>
      <xdr:rowOff>107949</xdr:rowOff>
    </xdr:from>
    <xdr:to>
      <xdr:col>18</xdr:col>
      <xdr:colOff>234949</xdr:colOff>
      <xdr:row>26</xdr:row>
      <xdr:rowOff>95250</xdr:rowOff>
    </xdr:to>
    <xdr:sp macro="" textlink="">
      <xdr:nvSpPr>
        <xdr:cNvPr id="3" name="Rectangle: Rounded Corners 2">
          <a:extLst>
            <a:ext uri="{FF2B5EF4-FFF2-40B4-BE49-F238E27FC236}">
              <a16:creationId xmlns:a16="http://schemas.microsoft.com/office/drawing/2014/main" id="{77F7B363-FBAD-4F63-BFE5-EB0E0BE0045D}"/>
            </a:ext>
          </a:extLst>
        </xdr:cNvPr>
        <xdr:cNvSpPr/>
      </xdr:nvSpPr>
      <xdr:spPr>
        <a:xfrm>
          <a:off x="2041110" y="107949"/>
          <a:ext cx="9166639" cy="4775201"/>
        </a:xfrm>
        <a:prstGeom prst="roundRect">
          <a:avLst>
            <a:gd name="adj" fmla="val 2273"/>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279400</xdr:colOff>
      <xdr:row>1</xdr:row>
      <xdr:rowOff>6073</xdr:rowOff>
    </xdr:from>
    <xdr:to>
      <xdr:col>11</xdr:col>
      <xdr:colOff>449194</xdr:colOff>
      <xdr:row>5</xdr:row>
      <xdr:rowOff>143136</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7FA54A80-8A32-495C-B2B4-BA945CD46DB1}"/>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108200" y="190223"/>
              <a:ext cx="5046594" cy="8736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482600</xdr:colOff>
      <xdr:row>1</xdr:row>
      <xdr:rowOff>6350</xdr:rowOff>
    </xdr:from>
    <xdr:to>
      <xdr:col>18</xdr:col>
      <xdr:colOff>101600</xdr:colOff>
      <xdr:row>5</xdr:row>
      <xdr:rowOff>139699</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EA106FCB-644B-49A1-AD04-F8C39D035BF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188200" y="190500"/>
              <a:ext cx="3886200" cy="869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285750</xdr:colOff>
      <xdr:row>6</xdr:row>
      <xdr:rowOff>6350</xdr:rowOff>
    </xdr:from>
    <xdr:to>
      <xdr:col>18</xdr:col>
      <xdr:colOff>139700</xdr:colOff>
      <xdr:row>9</xdr:row>
      <xdr:rowOff>39480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40B49403-CA01-4B27-B1FA-CF1A52588A5D}"/>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114550" y="1111250"/>
              <a:ext cx="8997950" cy="585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247650</xdr:colOff>
      <xdr:row>9</xdr:row>
      <xdr:rowOff>69850</xdr:rowOff>
    </xdr:from>
    <xdr:to>
      <xdr:col>4</xdr:col>
      <xdr:colOff>95250</xdr:colOff>
      <xdr:row>11</xdr:row>
      <xdr:rowOff>158750</xdr:rowOff>
    </xdr:to>
    <xdr:pic>
      <xdr:nvPicPr>
        <xdr:cNvPr id="7" name="Graphic 6" descr="Bar chart with solid fill">
          <a:extLst>
            <a:ext uri="{FF2B5EF4-FFF2-40B4-BE49-F238E27FC236}">
              <a16:creationId xmlns:a16="http://schemas.microsoft.com/office/drawing/2014/main" id="{8DAD037E-F4D1-4651-B8AE-EFE8239ECD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76450" y="1727200"/>
          <a:ext cx="457200" cy="457200"/>
        </a:xfrm>
        <a:prstGeom prst="rect">
          <a:avLst/>
        </a:prstGeom>
      </xdr:spPr>
    </xdr:pic>
    <xdr:clientData/>
  </xdr:twoCellAnchor>
  <xdr:twoCellAnchor>
    <xdr:from>
      <xdr:col>4</xdr:col>
      <xdr:colOff>44450</xdr:colOff>
      <xdr:row>9</xdr:row>
      <xdr:rowOff>158750</xdr:rowOff>
    </xdr:from>
    <xdr:to>
      <xdr:col>5</xdr:col>
      <xdr:colOff>539750</xdr:colOff>
      <xdr:row>11</xdr:row>
      <xdr:rowOff>146050</xdr:rowOff>
    </xdr:to>
    <xdr:sp macro="" textlink="">
      <xdr:nvSpPr>
        <xdr:cNvPr id="8" name="Rectangle 7">
          <a:extLst>
            <a:ext uri="{FF2B5EF4-FFF2-40B4-BE49-F238E27FC236}">
              <a16:creationId xmlns:a16="http://schemas.microsoft.com/office/drawing/2014/main" id="{1C14AACD-9765-439E-9550-83C7AF60CA00}"/>
            </a:ext>
          </a:extLst>
        </xdr:cNvPr>
        <xdr:cNvSpPr/>
      </xdr:nvSpPr>
      <xdr:spPr>
        <a:xfrm>
          <a:off x="2482850" y="1816100"/>
          <a:ext cx="1104900" cy="355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Analytics</a:t>
          </a:r>
        </a:p>
      </xdr:txBody>
    </xdr:sp>
    <xdr:clientData/>
  </xdr:twoCellAnchor>
  <xdr:twoCellAnchor>
    <xdr:from>
      <xdr:col>10</xdr:col>
      <xdr:colOff>520700</xdr:colOff>
      <xdr:row>19</xdr:row>
      <xdr:rowOff>57150</xdr:rowOff>
    </xdr:from>
    <xdr:to>
      <xdr:col>18</xdr:col>
      <xdr:colOff>152400</xdr:colOff>
      <xdr:row>26</xdr:row>
      <xdr:rowOff>15800</xdr:rowOff>
    </xdr:to>
    <xdr:sp macro="" textlink="">
      <xdr:nvSpPr>
        <xdr:cNvPr id="9" name="Rectangle 8">
          <a:extLst>
            <a:ext uri="{FF2B5EF4-FFF2-40B4-BE49-F238E27FC236}">
              <a16:creationId xmlns:a16="http://schemas.microsoft.com/office/drawing/2014/main" id="{0E4C4A0B-84E2-4119-ADA6-E51C5BE2646D}"/>
            </a:ext>
          </a:extLst>
        </xdr:cNvPr>
        <xdr:cNvSpPr/>
      </xdr:nvSpPr>
      <xdr:spPr>
        <a:xfrm>
          <a:off x="6616700" y="3556000"/>
          <a:ext cx="4508500" cy="1247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527050</xdr:colOff>
      <xdr:row>11</xdr:row>
      <xdr:rowOff>171450</xdr:rowOff>
    </xdr:from>
    <xdr:to>
      <xdr:col>18</xdr:col>
      <xdr:colOff>69850</xdr:colOff>
      <xdr:row>18</xdr:row>
      <xdr:rowOff>177800</xdr:rowOff>
    </xdr:to>
    <xdr:sp macro="" textlink="">
      <xdr:nvSpPr>
        <xdr:cNvPr id="10" name="Rectangle 9">
          <a:extLst>
            <a:ext uri="{FF2B5EF4-FFF2-40B4-BE49-F238E27FC236}">
              <a16:creationId xmlns:a16="http://schemas.microsoft.com/office/drawing/2014/main" id="{94AC71A5-A2AE-4B21-9F11-A64EF7BD441A}"/>
            </a:ext>
          </a:extLst>
        </xdr:cNvPr>
        <xdr:cNvSpPr/>
      </xdr:nvSpPr>
      <xdr:spPr>
        <a:xfrm>
          <a:off x="6623050" y="2197100"/>
          <a:ext cx="4419600" cy="1295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298450</xdr:colOff>
      <xdr:row>11</xdr:row>
      <xdr:rowOff>158750</xdr:rowOff>
    </xdr:from>
    <xdr:to>
      <xdr:col>10</xdr:col>
      <xdr:colOff>450850</xdr:colOff>
      <xdr:row>26</xdr:row>
      <xdr:rowOff>0</xdr:rowOff>
    </xdr:to>
    <xdr:sp macro="" textlink="">
      <xdr:nvSpPr>
        <xdr:cNvPr id="11" name="Rectangle 10">
          <a:extLst>
            <a:ext uri="{FF2B5EF4-FFF2-40B4-BE49-F238E27FC236}">
              <a16:creationId xmlns:a16="http://schemas.microsoft.com/office/drawing/2014/main" id="{59401E6D-CB08-4C1F-9B55-1C8DA25021ED}"/>
            </a:ext>
          </a:extLst>
        </xdr:cNvPr>
        <xdr:cNvSpPr/>
      </xdr:nvSpPr>
      <xdr:spPr>
        <a:xfrm>
          <a:off x="2127250" y="2184400"/>
          <a:ext cx="4419600" cy="2603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438150</xdr:colOff>
      <xdr:row>12</xdr:row>
      <xdr:rowOff>25400</xdr:rowOff>
    </xdr:from>
    <xdr:to>
      <xdr:col>4</xdr:col>
      <xdr:colOff>171450</xdr:colOff>
      <xdr:row>15</xdr:row>
      <xdr:rowOff>19050</xdr:rowOff>
    </xdr:to>
    <xdr:sp macro="" textlink="">
      <xdr:nvSpPr>
        <xdr:cNvPr id="16" name="Text Box 2">
          <a:extLst>
            <a:ext uri="{FF2B5EF4-FFF2-40B4-BE49-F238E27FC236}">
              <a16:creationId xmlns:a16="http://schemas.microsoft.com/office/drawing/2014/main" id="{65D6701F-837B-4189-BF18-6493201BD506}"/>
            </a:ext>
          </a:extLst>
        </xdr:cNvPr>
        <xdr:cNvSpPr txBox="1">
          <a:spLocks noChangeArrowheads="1"/>
        </xdr:cNvSpPr>
      </xdr:nvSpPr>
      <xdr:spPr bwMode="auto">
        <a:xfrm>
          <a:off x="2266950" y="2235200"/>
          <a:ext cx="342900" cy="546100"/>
        </a:xfrm>
        <a:prstGeom prst="rect">
          <a:avLst/>
        </a:prstGeom>
        <a:noFill/>
        <a:ln w="9525">
          <a:noFill/>
          <a:miter lim="800000"/>
          <a:headEnd/>
          <a:tailEnd/>
        </a:ln>
      </xdr:spPr>
      <xdr:txBody>
        <a:bodyPr vertOverflow="clip" wrap="square" lIns="36576" tIns="36576" rIns="0" bIns="0" anchor="t" upright="1"/>
        <a:lstStyle/>
        <a:p>
          <a:pPr algn="l" rtl="0">
            <a:defRPr sz="1000"/>
          </a:pPr>
          <a:endParaRPr lang="en-IN" sz="3600" b="0" i="0" u="none" strike="noStrike" baseline="0">
            <a:ln>
              <a:noFill/>
            </a:ln>
            <a:solidFill>
              <a:srgbClr val="00B050"/>
            </a:solidFill>
            <a:latin typeface="Calibri"/>
            <a:ea typeface="Calibri"/>
            <a:cs typeface="Calibri"/>
          </a:endParaRPr>
        </a:p>
      </xdr:txBody>
    </xdr:sp>
    <xdr:clientData/>
  </xdr:twoCellAnchor>
  <xdr:twoCellAnchor>
    <xdr:from>
      <xdr:col>10</xdr:col>
      <xdr:colOff>533400</xdr:colOff>
      <xdr:row>11</xdr:row>
      <xdr:rowOff>177800</xdr:rowOff>
    </xdr:from>
    <xdr:to>
      <xdr:col>13</xdr:col>
      <xdr:colOff>279400</xdr:colOff>
      <xdr:row>13</xdr:row>
      <xdr:rowOff>101600</xdr:rowOff>
    </xdr:to>
    <xdr:sp macro="" textlink="">
      <xdr:nvSpPr>
        <xdr:cNvPr id="20" name="TextBox 19">
          <a:extLst>
            <a:ext uri="{FF2B5EF4-FFF2-40B4-BE49-F238E27FC236}">
              <a16:creationId xmlns:a16="http://schemas.microsoft.com/office/drawing/2014/main" id="{91909A9C-2831-4734-B78C-951C5F54624F}"/>
            </a:ext>
          </a:extLst>
        </xdr:cNvPr>
        <xdr:cNvSpPr txBox="1"/>
      </xdr:nvSpPr>
      <xdr:spPr>
        <a:xfrm>
          <a:off x="6629400" y="2203450"/>
          <a:ext cx="15748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a:t>
          </a:r>
          <a:r>
            <a:rPr lang="en-IN" sz="1200" b="1" baseline="0"/>
            <a:t> 3 Selling Product</a:t>
          </a:r>
          <a:endParaRPr lang="en-IN" sz="1200" b="1"/>
        </a:p>
      </xdr:txBody>
    </xdr:sp>
    <xdr:clientData/>
  </xdr:twoCellAnchor>
  <xdr:twoCellAnchor>
    <xdr:from>
      <xdr:col>10</xdr:col>
      <xdr:colOff>514350</xdr:colOff>
      <xdr:row>19</xdr:row>
      <xdr:rowOff>57150</xdr:rowOff>
    </xdr:from>
    <xdr:to>
      <xdr:col>13</xdr:col>
      <xdr:colOff>520700</xdr:colOff>
      <xdr:row>20</xdr:row>
      <xdr:rowOff>165100</xdr:rowOff>
    </xdr:to>
    <xdr:sp macro="" textlink="">
      <xdr:nvSpPr>
        <xdr:cNvPr id="21" name="TextBox 20">
          <a:extLst>
            <a:ext uri="{FF2B5EF4-FFF2-40B4-BE49-F238E27FC236}">
              <a16:creationId xmlns:a16="http://schemas.microsoft.com/office/drawing/2014/main" id="{7D2DF021-0953-4833-B7E1-4C2D10884919}"/>
            </a:ext>
          </a:extLst>
        </xdr:cNvPr>
        <xdr:cNvSpPr txBox="1"/>
      </xdr:nvSpPr>
      <xdr:spPr>
        <a:xfrm>
          <a:off x="6610350" y="3556000"/>
          <a:ext cx="18351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a:t>
          </a:r>
          <a:r>
            <a:rPr lang="en-IN" sz="1200" b="1" baseline="0"/>
            <a:t> 3 Less Selling Product</a:t>
          </a:r>
          <a:endParaRPr lang="en-IN" sz="1200" b="1"/>
        </a:p>
      </xdr:txBody>
    </xdr:sp>
    <xdr:clientData/>
  </xdr:twoCellAnchor>
  <xdr:twoCellAnchor>
    <xdr:from>
      <xdr:col>1</xdr:col>
      <xdr:colOff>76200</xdr:colOff>
      <xdr:row>9</xdr:row>
      <xdr:rowOff>50800</xdr:rowOff>
    </xdr:from>
    <xdr:to>
      <xdr:col>3</xdr:col>
      <xdr:colOff>158750</xdr:colOff>
      <xdr:row>10</xdr:row>
      <xdr:rowOff>171450</xdr:rowOff>
    </xdr:to>
    <xdr:sp macro="" textlink="">
      <xdr:nvSpPr>
        <xdr:cNvPr id="22" name="Rectangle: Rounded Corners 21">
          <a:hlinkClick xmlns:r="http://schemas.openxmlformats.org/officeDocument/2006/relationships" r:id="rId3"/>
          <a:extLst>
            <a:ext uri="{FF2B5EF4-FFF2-40B4-BE49-F238E27FC236}">
              <a16:creationId xmlns:a16="http://schemas.microsoft.com/office/drawing/2014/main" id="{A564DED6-618F-4FFE-94A3-8C97F32AA4D2}"/>
            </a:ext>
          </a:extLst>
        </xdr:cNvPr>
        <xdr:cNvSpPr/>
      </xdr:nvSpPr>
      <xdr:spPr>
        <a:xfrm>
          <a:off x="685800" y="1708150"/>
          <a:ext cx="1301750" cy="304800"/>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DASHBOARD</a:t>
          </a:r>
        </a:p>
      </xdr:txBody>
    </xdr:sp>
    <xdr:clientData/>
  </xdr:twoCellAnchor>
  <xdr:twoCellAnchor>
    <xdr:from>
      <xdr:col>1</xdr:col>
      <xdr:colOff>76200</xdr:colOff>
      <xdr:row>11</xdr:row>
      <xdr:rowOff>88900</xdr:rowOff>
    </xdr:from>
    <xdr:to>
      <xdr:col>3</xdr:col>
      <xdr:colOff>158750</xdr:colOff>
      <xdr:row>13</xdr:row>
      <xdr:rowOff>25400</xdr:rowOff>
    </xdr:to>
    <xdr:sp macro="" textlink="">
      <xdr:nvSpPr>
        <xdr:cNvPr id="23" name="Rectangle: Rounded Corners 22">
          <a:hlinkClick xmlns:r="http://schemas.openxmlformats.org/officeDocument/2006/relationships" r:id="rId4"/>
          <a:extLst>
            <a:ext uri="{FF2B5EF4-FFF2-40B4-BE49-F238E27FC236}">
              <a16:creationId xmlns:a16="http://schemas.microsoft.com/office/drawing/2014/main" id="{4D849EDE-D4F6-42D5-883E-A8021F57A560}"/>
            </a:ext>
          </a:extLst>
        </xdr:cNvPr>
        <xdr:cNvSpPr/>
      </xdr:nvSpPr>
      <xdr:spPr>
        <a:xfrm>
          <a:off x="685800" y="2114550"/>
          <a:ext cx="1301750" cy="304800"/>
        </a:xfrm>
        <a:prstGeom prst="roundRect">
          <a:avLst>
            <a:gd name="adj" fmla="val 50000"/>
          </a:avLst>
        </a:prstGeom>
        <a:solidFill>
          <a:schemeClr val="accent1"/>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PRODUCTS</a:t>
          </a:r>
        </a:p>
      </xdr:txBody>
    </xdr:sp>
    <xdr:clientData/>
  </xdr:twoCellAnchor>
  <xdr:twoCellAnchor>
    <xdr:from>
      <xdr:col>1</xdr:col>
      <xdr:colOff>82550</xdr:colOff>
      <xdr:row>13</xdr:row>
      <xdr:rowOff>139700</xdr:rowOff>
    </xdr:from>
    <xdr:to>
      <xdr:col>3</xdr:col>
      <xdr:colOff>165100</xdr:colOff>
      <xdr:row>15</xdr:row>
      <xdr:rowOff>76200</xdr:rowOff>
    </xdr:to>
    <xdr:sp macro="" textlink="">
      <xdr:nvSpPr>
        <xdr:cNvPr id="24" name="Rectangle: Rounded Corners 23">
          <a:hlinkClick xmlns:r="http://schemas.openxmlformats.org/officeDocument/2006/relationships" r:id="rId5"/>
          <a:extLst>
            <a:ext uri="{FF2B5EF4-FFF2-40B4-BE49-F238E27FC236}">
              <a16:creationId xmlns:a16="http://schemas.microsoft.com/office/drawing/2014/main" id="{575D4332-DD23-4B0D-9BA2-C57FC01AB462}"/>
            </a:ext>
          </a:extLst>
        </xdr:cNvPr>
        <xdr:cNvSpPr/>
      </xdr:nvSpPr>
      <xdr:spPr>
        <a:xfrm>
          <a:off x="692150" y="2533650"/>
          <a:ext cx="1301750" cy="304800"/>
        </a:xfrm>
        <a:prstGeom prst="roundRect">
          <a:avLst>
            <a:gd name="adj" fmla="val 50000"/>
          </a:avLst>
        </a:prstGeom>
        <a:solidFill>
          <a:schemeClr val="accent1"/>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SALESMANS</a:t>
          </a:r>
        </a:p>
      </xdr:txBody>
    </xdr:sp>
    <xdr:clientData/>
  </xdr:twoCellAnchor>
  <xdr:twoCellAnchor>
    <xdr:from>
      <xdr:col>1</xdr:col>
      <xdr:colOff>63500</xdr:colOff>
      <xdr:row>16</xdr:row>
      <xdr:rowOff>6350</xdr:rowOff>
    </xdr:from>
    <xdr:to>
      <xdr:col>3</xdr:col>
      <xdr:colOff>146050</xdr:colOff>
      <xdr:row>17</xdr:row>
      <xdr:rowOff>127000</xdr:rowOff>
    </xdr:to>
    <xdr:sp macro="" textlink="">
      <xdr:nvSpPr>
        <xdr:cNvPr id="25" name="Rectangle: Rounded Corners 24">
          <a:hlinkClick xmlns:r="http://schemas.openxmlformats.org/officeDocument/2006/relationships" r:id="rId6"/>
          <a:extLst>
            <a:ext uri="{FF2B5EF4-FFF2-40B4-BE49-F238E27FC236}">
              <a16:creationId xmlns:a16="http://schemas.microsoft.com/office/drawing/2014/main" id="{C752735C-C0E1-4647-970C-18D1070AE514}"/>
            </a:ext>
          </a:extLst>
        </xdr:cNvPr>
        <xdr:cNvSpPr/>
      </xdr:nvSpPr>
      <xdr:spPr>
        <a:xfrm>
          <a:off x="673100" y="2952750"/>
          <a:ext cx="1301750" cy="304800"/>
        </a:xfrm>
        <a:prstGeom prst="roundRect">
          <a:avLst>
            <a:gd name="adj" fmla="val 50000"/>
          </a:avLst>
        </a:prstGeom>
        <a:solidFill>
          <a:schemeClr val="accent1"/>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ABOUT</a:t>
          </a:r>
        </a:p>
      </xdr:txBody>
    </xdr:sp>
    <xdr:clientData/>
  </xdr:twoCellAnchor>
  <xdr:twoCellAnchor>
    <xdr:from>
      <xdr:col>3</xdr:col>
      <xdr:colOff>311150</xdr:colOff>
      <xdr:row>12</xdr:row>
      <xdr:rowOff>6350</xdr:rowOff>
    </xdr:from>
    <xdr:to>
      <xdr:col>5</xdr:col>
      <xdr:colOff>406400</xdr:colOff>
      <xdr:row>13</xdr:row>
      <xdr:rowOff>114300</xdr:rowOff>
    </xdr:to>
    <xdr:sp macro="" textlink="">
      <xdr:nvSpPr>
        <xdr:cNvPr id="28" name="TextBox 27">
          <a:extLst>
            <a:ext uri="{FF2B5EF4-FFF2-40B4-BE49-F238E27FC236}">
              <a16:creationId xmlns:a16="http://schemas.microsoft.com/office/drawing/2014/main" id="{C0BA7402-48D7-4F22-870F-AFCBCFF9050A}"/>
            </a:ext>
          </a:extLst>
        </xdr:cNvPr>
        <xdr:cNvSpPr txBox="1"/>
      </xdr:nvSpPr>
      <xdr:spPr>
        <a:xfrm>
          <a:off x="2139950" y="2216150"/>
          <a:ext cx="13144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Sale</a:t>
          </a:r>
          <a:r>
            <a:rPr lang="en-IN" sz="1200" b="1" baseline="0"/>
            <a:t> By Products</a:t>
          </a:r>
          <a:endParaRPr lang="en-IN" sz="1200" b="1"/>
        </a:p>
      </xdr:txBody>
    </xdr:sp>
    <xdr:clientData/>
  </xdr:twoCellAnchor>
  <xdr:twoCellAnchor>
    <xdr:from>
      <xdr:col>6</xdr:col>
      <xdr:colOff>69850</xdr:colOff>
      <xdr:row>9</xdr:row>
      <xdr:rowOff>95250</xdr:rowOff>
    </xdr:from>
    <xdr:to>
      <xdr:col>7</xdr:col>
      <xdr:colOff>539750</xdr:colOff>
      <xdr:row>11</xdr:row>
      <xdr:rowOff>19050</xdr:rowOff>
    </xdr:to>
    <xdr:sp macro="" textlink="">
      <xdr:nvSpPr>
        <xdr:cNvPr id="30" name="TextBox 29">
          <a:extLst>
            <a:ext uri="{FF2B5EF4-FFF2-40B4-BE49-F238E27FC236}">
              <a16:creationId xmlns:a16="http://schemas.microsoft.com/office/drawing/2014/main" id="{7BA22624-12B7-48D3-A95B-A9B004AD7F1D}"/>
            </a:ext>
          </a:extLst>
        </xdr:cNvPr>
        <xdr:cNvSpPr txBox="1"/>
      </xdr:nvSpPr>
      <xdr:spPr>
        <a:xfrm>
          <a:off x="3727450" y="1752600"/>
          <a:ext cx="1079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p>
      </xdr:txBody>
    </xdr:sp>
    <xdr:clientData/>
  </xdr:twoCellAnchor>
  <xdr:twoCellAnchor>
    <xdr:from>
      <xdr:col>10</xdr:col>
      <xdr:colOff>603250</xdr:colOff>
      <xdr:row>13</xdr:row>
      <xdr:rowOff>82550</xdr:rowOff>
    </xdr:from>
    <xdr:to>
      <xdr:col>17</xdr:col>
      <xdr:colOff>571500</xdr:colOff>
      <xdr:row>18</xdr:row>
      <xdr:rowOff>114300</xdr:rowOff>
    </xdr:to>
    <xdr:graphicFrame macro="">
      <xdr:nvGraphicFramePr>
        <xdr:cNvPr id="33" name="Chart 32">
          <a:extLst>
            <a:ext uri="{FF2B5EF4-FFF2-40B4-BE49-F238E27FC236}">
              <a16:creationId xmlns:a16="http://schemas.microsoft.com/office/drawing/2014/main" id="{CCC65EF9-9F8F-4DFC-A9F0-DCE2C790F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558800</xdr:colOff>
      <xdr:row>20</xdr:row>
      <xdr:rowOff>88900</xdr:rowOff>
    </xdr:from>
    <xdr:to>
      <xdr:col>17</xdr:col>
      <xdr:colOff>457200</xdr:colOff>
      <xdr:row>25</xdr:row>
      <xdr:rowOff>133350</xdr:rowOff>
    </xdr:to>
    <xdr:graphicFrame macro="">
      <xdr:nvGraphicFramePr>
        <xdr:cNvPr id="34" name="Chart 33">
          <a:extLst>
            <a:ext uri="{FF2B5EF4-FFF2-40B4-BE49-F238E27FC236}">
              <a16:creationId xmlns:a16="http://schemas.microsoft.com/office/drawing/2014/main" id="{83309E6D-C55F-4D21-81E8-F90F4979B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355600</xdr:colOff>
      <xdr:row>14</xdr:row>
      <xdr:rowOff>12700</xdr:rowOff>
    </xdr:from>
    <xdr:to>
      <xdr:col>10</xdr:col>
      <xdr:colOff>342900</xdr:colOff>
      <xdr:row>25</xdr:row>
      <xdr:rowOff>120650</xdr:rowOff>
    </xdr:to>
    <xdr:graphicFrame macro="">
      <xdr:nvGraphicFramePr>
        <xdr:cNvPr id="35" name="Chart 34">
          <a:extLst>
            <a:ext uri="{FF2B5EF4-FFF2-40B4-BE49-F238E27FC236}">
              <a16:creationId xmlns:a16="http://schemas.microsoft.com/office/drawing/2014/main" id="{BA46BEA4-8AAC-41FC-9677-E145E9AE5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22087</xdr:colOff>
      <xdr:row>0</xdr:row>
      <xdr:rowOff>82826</xdr:rowOff>
    </xdr:from>
    <xdr:to>
      <xdr:col>18</xdr:col>
      <xdr:colOff>279400</xdr:colOff>
      <xdr:row>26</xdr:row>
      <xdr:rowOff>177800</xdr:rowOff>
    </xdr:to>
    <xdr:sp macro="" textlink="">
      <xdr:nvSpPr>
        <xdr:cNvPr id="2" name="Rectangle: Rounded Corners 1">
          <a:extLst>
            <a:ext uri="{FF2B5EF4-FFF2-40B4-BE49-F238E27FC236}">
              <a16:creationId xmlns:a16="http://schemas.microsoft.com/office/drawing/2014/main" id="{034ABDCD-A987-4722-AB86-62268D57E810}"/>
            </a:ext>
          </a:extLst>
        </xdr:cNvPr>
        <xdr:cNvSpPr/>
      </xdr:nvSpPr>
      <xdr:spPr>
        <a:xfrm>
          <a:off x="631687" y="82826"/>
          <a:ext cx="10620513" cy="4882874"/>
        </a:xfrm>
        <a:prstGeom prst="roundRect">
          <a:avLst>
            <a:gd name="adj" fmla="val 166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212310</xdr:colOff>
      <xdr:row>0</xdr:row>
      <xdr:rowOff>107949</xdr:rowOff>
    </xdr:from>
    <xdr:to>
      <xdr:col>18</xdr:col>
      <xdr:colOff>234949</xdr:colOff>
      <xdr:row>26</xdr:row>
      <xdr:rowOff>95250</xdr:rowOff>
    </xdr:to>
    <xdr:sp macro="" textlink="">
      <xdr:nvSpPr>
        <xdr:cNvPr id="3" name="Rectangle: Rounded Corners 2">
          <a:extLst>
            <a:ext uri="{FF2B5EF4-FFF2-40B4-BE49-F238E27FC236}">
              <a16:creationId xmlns:a16="http://schemas.microsoft.com/office/drawing/2014/main" id="{14F2F0E0-0749-42F0-BB8B-1BEF341F6C5C}"/>
            </a:ext>
          </a:extLst>
        </xdr:cNvPr>
        <xdr:cNvSpPr/>
      </xdr:nvSpPr>
      <xdr:spPr>
        <a:xfrm>
          <a:off x="2041110" y="107949"/>
          <a:ext cx="9166639" cy="4775201"/>
        </a:xfrm>
        <a:prstGeom prst="roundRect">
          <a:avLst>
            <a:gd name="adj" fmla="val 2273"/>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279400</xdr:colOff>
      <xdr:row>1</xdr:row>
      <xdr:rowOff>6073</xdr:rowOff>
    </xdr:from>
    <xdr:to>
      <xdr:col>11</xdr:col>
      <xdr:colOff>449194</xdr:colOff>
      <xdr:row>5</xdr:row>
      <xdr:rowOff>143136</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59CE5ECF-67B5-49EF-A7E0-2D943E1E536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108200" y="190223"/>
              <a:ext cx="5046594" cy="8736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482600</xdr:colOff>
      <xdr:row>1</xdr:row>
      <xdr:rowOff>6350</xdr:rowOff>
    </xdr:from>
    <xdr:to>
      <xdr:col>18</xdr:col>
      <xdr:colOff>101600</xdr:colOff>
      <xdr:row>5</xdr:row>
      <xdr:rowOff>139699</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8696AD6F-5F2D-44F0-B293-4A4092F0100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188200" y="190500"/>
              <a:ext cx="3886200" cy="869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285750</xdr:colOff>
      <xdr:row>6</xdr:row>
      <xdr:rowOff>6350</xdr:rowOff>
    </xdr:from>
    <xdr:to>
      <xdr:col>18</xdr:col>
      <xdr:colOff>139700</xdr:colOff>
      <xdr:row>9</xdr:row>
      <xdr:rowOff>39480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2C3F63FF-8B76-4D8A-9269-E1AE590570EF}"/>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114550" y="1111250"/>
              <a:ext cx="8997950" cy="585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247650</xdr:colOff>
      <xdr:row>9</xdr:row>
      <xdr:rowOff>69850</xdr:rowOff>
    </xdr:from>
    <xdr:to>
      <xdr:col>4</xdr:col>
      <xdr:colOff>95250</xdr:colOff>
      <xdr:row>11</xdr:row>
      <xdr:rowOff>158750</xdr:rowOff>
    </xdr:to>
    <xdr:pic>
      <xdr:nvPicPr>
        <xdr:cNvPr id="8" name="Graphic 7" descr="Bar chart with solid fill">
          <a:extLst>
            <a:ext uri="{FF2B5EF4-FFF2-40B4-BE49-F238E27FC236}">
              <a16:creationId xmlns:a16="http://schemas.microsoft.com/office/drawing/2014/main" id="{DA41805D-1939-4F74-8BB8-AB605DBF76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76450" y="1727200"/>
          <a:ext cx="457200" cy="457200"/>
        </a:xfrm>
        <a:prstGeom prst="rect">
          <a:avLst/>
        </a:prstGeom>
      </xdr:spPr>
    </xdr:pic>
    <xdr:clientData/>
  </xdr:twoCellAnchor>
  <xdr:twoCellAnchor>
    <xdr:from>
      <xdr:col>4</xdr:col>
      <xdr:colOff>44450</xdr:colOff>
      <xdr:row>9</xdr:row>
      <xdr:rowOff>158750</xdr:rowOff>
    </xdr:from>
    <xdr:to>
      <xdr:col>5</xdr:col>
      <xdr:colOff>539750</xdr:colOff>
      <xdr:row>11</xdr:row>
      <xdr:rowOff>146050</xdr:rowOff>
    </xdr:to>
    <xdr:sp macro="" textlink="">
      <xdr:nvSpPr>
        <xdr:cNvPr id="9" name="Rectangle 8">
          <a:extLst>
            <a:ext uri="{FF2B5EF4-FFF2-40B4-BE49-F238E27FC236}">
              <a16:creationId xmlns:a16="http://schemas.microsoft.com/office/drawing/2014/main" id="{33CBA344-CCDF-447F-A02F-1B7F7D3B996A}"/>
            </a:ext>
          </a:extLst>
        </xdr:cNvPr>
        <xdr:cNvSpPr/>
      </xdr:nvSpPr>
      <xdr:spPr>
        <a:xfrm>
          <a:off x="2482850" y="1816100"/>
          <a:ext cx="1104900" cy="355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Analytics</a:t>
          </a:r>
        </a:p>
      </xdr:txBody>
    </xdr:sp>
    <xdr:clientData/>
  </xdr:twoCellAnchor>
  <xdr:twoCellAnchor>
    <xdr:from>
      <xdr:col>10</xdr:col>
      <xdr:colOff>520700</xdr:colOff>
      <xdr:row>19</xdr:row>
      <xdr:rowOff>57150</xdr:rowOff>
    </xdr:from>
    <xdr:to>
      <xdr:col>18</xdr:col>
      <xdr:colOff>152400</xdr:colOff>
      <xdr:row>26</xdr:row>
      <xdr:rowOff>15800</xdr:rowOff>
    </xdr:to>
    <xdr:sp macro="" textlink="">
      <xdr:nvSpPr>
        <xdr:cNvPr id="14" name="Rectangle 13">
          <a:extLst>
            <a:ext uri="{FF2B5EF4-FFF2-40B4-BE49-F238E27FC236}">
              <a16:creationId xmlns:a16="http://schemas.microsoft.com/office/drawing/2014/main" id="{9BA844A8-8F84-48B2-8505-CC57D3160F1B}"/>
            </a:ext>
          </a:extLst>
        </xdr:cNvPr>
        <xdr:cNvSpPr/>
      </xdr:nvSpPr>
      <xdr:spPr>
        <a:xfrm>
          <a:off x="6616700" y="3556000"/>
          <a:ext cx="4508500" cy="12477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527050</xdr:colOff>
      <xdr:row>11</xdr:row>
      <xdr:rowOff>171450</xdr:rowOff>
    </xdr:from>
    <xdr:to>
      <xdr:col>18</xdr:col>
      <xdr:colOff>69850</xdr:colOff>
      <xdr:row>18</xdr:row>
      <xdr:rowOff>177800</xdr:rowOff>
    </xdr:to>
    <xdr:sp macro="" textlink="">
      <xdr:nvSpPr>
        <xdr:cNvPr id="15" name="Rectangle 14">
          <a:extLst>
            <a:ext uri="{FF2B5EF4-FFF2-40B4-BE49-F238E27FC236}">
              <a16:creationId xmlns:a16="http://schemas.microsoft.com/office/drawing/2014/main" id="{FB46963A-77D0-482A-81DB-35C8CECBF4C9}"/>
            </a:ext>
          </a:extLst>
        </xdr:cNvPr>
        <xdr:cNvSpPr/>
      </xdr:nvSpPr>
      <xdr:spPr>
        <a:xfrm>
          <a:off x="6623050" y="2197100"/>
          <a:ext cx="4419600" cy="1295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311150</xdr:colOff>
      <xdr:row>16</xdr:row>
      <xdr:rowOff>12700</xdr:rowOff>
    </xdr:from>
    <xdr:to>
      <xdr:col>10</xdr:col>
      <xdr:colOff>463550</xdr:colOff>
      <xdr:row>26</xdr:row>
      <xdr:rowOff>19050</xdr:rowOff>
    </xdr:to>
    <xdr:sp macro="" textlink="">
      <xdr:nvSpPr>
        <xdr:cNvPr id="16" name="Rectangle 15">
          <a:extLst>
            <a:ext uri="{FF2B5EF4-FFF2-40B4-BE49-F238E27FC236}">
              <a16:creationId xmlns:a16="http://schemas.microsoft.com/office/drawing/2014/main" id="{2EC834ED-F2EA-48D8-AD72-A606FE7B49E2}"/>
            </a:ext>
          </a:extLst>
        </xdr:cNvPr>
        <xdr:cNvSpPr/>
      </xdr:nvSpPr>
      <xdr:spPr>
        <a:xfrm>
          <a:off x="2139950" y="2959100"/>
          <a:ext cx="4419600" cy="18478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330200</xdr:colOff>
      <xdr:row>12</xdr:row>
      <xdr:rowOff>12700</xdr:rowOff>
    </xdr:from>
    <xdr:to>
      <xdr:col>7</xdr:col>
      <xdr:colOff>25400</xdr:colOff>
      <xdr:row>15</xdr:row>
      <xdr:rowOff>119050</xdr:rowOff>
    </xdr:to>
    <xdr:sp macro="" textlink="">
      <xdr:nvSpPr>
        <xdr:cNvPr id="17" name="Rectangle: Rounded Corners 16">
          <a:extLst>
            <a:ext uri="{FF2B5EF4-FFF2-40B4-BE49-F238E27FC236}">
              <a16:creationId xmlns:a16="http://schemas.microsoft.com/office/drawing/2014/main" id="{874E271F-5094-431C-B8A8-C0904160FF84}"/>
            </a:ext>
          </a:extLst>
        </xdr:cNvPr>
        <xdr:cNvSpPr/>
      </xdr:nvSpPr>
      <xdr:spPr>
        <a:xfrm>
          <a:off x="2159000" y="2222500"/>
          <a:ext cx="2133600" cy="658800"/>
        </a:xfrm>
        <a:prstGeom prst="round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406400</xdr:colOff>
      <xdr:row>12</xdr:row>
      <xdr:rowOff>6350</xdr:rowOff>
    </xdr:from>
    <xdr:to>
      <xdr:col>7</xdr:col>
      <xdr:colOff>19050</xdr:colOff>
      <xdr:row>15</xdr:row>
      <xdr:rowOff>112700</xdr:rowOff>
    </xdr:to>
    <xdr:sp macro="" textlink="">
      <xdr:nvSpPr>
        <xdr:cNvPr id="19" name="Rectangle: Rounded Corners 18">
          <a:extLst>
            <a:ext uri="{FF2B5EF4-FFF2-40B4-BE49-F238E27FC236}">
              <a16:creationId xmlns:a16="http://schemas.microsoft.com/office/drawing/2014/main" id="{5C4697FA-3E0B-4E02-A026-F23C0C0DB153}"/>
            </a:ext>
          </a:extLst>
        </xdr:cNvPr>
        <xdr:cNvSpPr/>
      </xdr:nvSpPr>
      <xdr:spPr>
        <a:xfrm>
          <a:off x="2235200" y="2216150"/>
          <a:ext cx="2051050" cy="6588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p>
      </xdr:txBody>
    </xdr:sp>
    <xdr:clientData/>
  </xdr:twoCellAnchor>
  <xdr:twoCellAnchor>
    <xdr:from>
      <xdr:col>7</xdr:col>
      <xdr:colOff>139700</xdr:colOff>
      <xdr:row>12</xdr:row>
      <xdr:rowOff>19050</xdr:rowOff>
    </xdr:from>
    <xdr:to>
      <xdr:col>10</xdr:col>
      <xdr:colOff>444500</xdr:colOff>
      <xdr:row>15</xdr:row>
      <xdr:rowOff>125400</xdr:rowOff>
    </xdr:to>
    <xdr:sp macro="" textlink="">
      <xdr:nvSpPr>
        <xdr:cNvPr id="22" name="Rectangle: Rounded Corners 21">
          <a:extLst>
            <a:ext uri="{FF2B5EF4-FFF2-40B4-BE49-F238E27FC236}">
              <a16:creationId xmlns:a16="http://schemas.microsoft.com/office/drawing/2014/main" id="{8FC54E1D-6E8F-4F75-A122-65A53A106838}"/>
            </a:ext>
          </a:extLst>
        </xdr:cNvPr>
        <xdr:cNvSpPr/>
      </xdr:nvSpPr>
      <xdr:spPr>
        <a:xfrm>
          <a:off x="4406900" y="2228850"/>
          <a:ext cx="2133600" cy="658800"/>
        </a:xfrm>
        <a:prstGeom prst="roundRec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215900</xdr:colOff>
      <xdr:row>12</xdr:row>
      <xdr:rowOff>12700</xdr:rowOff>
    </xdr:from>
    <xdr:to>
      <xdr:col>10</xdr:col>
      <xdr:colOff>438150</xdr:colOff>
      <xdr:row>15</xdr:row>
      <xdr:rowOff>119050</xdr:rowOff>
    </xdr:to>
    <xdr:sp macro="" textlink="">
      <xdr:nvSpPr>
        <xdr:cNvPr id="23" name="Rectangle: Rounded Corners 22">
          <a:extLst>
            <a:ext uri="{FF2B5EF4-FFF2-40B4-BE49-F238E27FC236}">
              <a16:creationId xmlns:a16="http://schemas.microsoft.com/office/drawing/2014/main" id="{923443D6-B255-424D-8E47-1BEDE0BA3A63}"/>
            </a:ext>
          </a:extLst>
        </xdr:cNvPr>
        <xdr:cNvSpPr/>
      </xdr:nvSpPr>
      <xdr:spPr>
        <a:xfrm>
          <a:off x="4483100" y="2222500"/>
          <a:ext cx="2051050" cy="6588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438150</xdr:colOff>
      <xdr:row>12</xdr:row>
      <xdr:rowOff>25400</xdr:rowOff>
    </xdr:from>
    <xdr:to>
      <xdr:col>4</xdr:col>
      <xdr:colOff>171450</xdr:colOff>
      <xdr:row>15</xdr:row>
      <xdr:rowOff>19050</xdr:rowOff>
    </xdr:to>
    <xdr:sp macro="" textlink="">
      <xdr:nvSpPr>
        <xdr:cNvPr id="1026" name="Text Box 2">
          <a:extLst>
            <a:ext uri="{FF2B5EF4-FFF2-40B4-BE49-F238E27FC236}">
              <a16:creationId xmlns:a16="http://schemas.microsoft.com/office/drawing/2014/main" id="{9C7C523E-1B8B-4BF4-9F1A-7B633B94F1B3}"/>
            </a:ext>
          </a:extLst>
        </xdr:cNvPr>
        <xdr:cNvSpPr txBox="1">
          <a:spLocks noChangeArrowheads="1"/>
        </xdr:cNvSpPr>
      </xdr:nvSpPr>
      <xdr:spPr bwMode="auto">
        <a:xfrm>
          <a:off x="2266950" y="2235200"/>
          <a:ext cx="342900" cy="546100"/>
        </a:xfrm>
        <a:prstGeom prst="rect">
          <a:avLst/>
        </a:prstGeom>
        <a:noFill/>
        <a:ln w="9525">
          <a:noFill/>
          <a:miter lim="800000"/>
          <a:headEnd/>
          <a:tailEnd/>
        </a:ln>
      </xdr:spPr>
      <xdr:txBody>
        <a:bodyPr vertOverflow="clip" wrap="square" lIns="36576" tIns="36576" rIns="0" bIns="0" anchor="t" upright="1"/>
        <a:lstStyle/>
        <a:p>
          <a:pPr algn="l" rtl="0">
            <a:defRPr sz="1000"/>
          </a:pPr>
          <a:r>
            <a:rPr lang="en-IN" sz="3600" b="0" i="0" u="none" strike="noStrike" baseline="0">
              <a:ln>
                <a:noFill/>
              </a:ln>
              <a:solidFill>
                <a:srgbClr val="00B050"/>
              </a:solidFill>
              <a:latin typeface="Calibri"/>
              <a:ea typeface="Calibri"/>
              <a:cs typeface="Calibri"/>
            </a:rPr>
            <a:t>₹</a:t>
          </a:r>
        </a:p>
      </xdr:txBody>
    </xdr:sp>
    <xdr:clientData/>
  </xdr:twoCellAnchor>
  <xdr:twoCellAnchor>
    <xdr:from>
      <xdr:col>4</xdr:col>
      <xdr:colOff>260350</xdr:colOff>
      <xdr:row>11</xdr:row>
      <xdr:rowOff>171450</xdr:rowOff>
    </xdr:from>
    <xdr:to>
      <xdr:col>6</xdr:col>
      <xdr:colOff>120650</xdr:colOff>
      <xdr:row>13</xdr:row>
      <xdr:rowOff>95250</xdr:rowOff>
    </xdr:to>
    <xdr:sp macro="" textlink="">
      <xdr:nvSpPr>
        <xdr:cNvPr id="25" name="TextBox 24">
          <a:extLst>
            <a:ext uri="{FF2B5EF4-FFF2-40B4-BE49-F238E27FC236}">
              <a16:creationId xmlns:a16="http://schemas.microsoft.com/office/drawing/2014/main" id="{4A49A1DC-40E7-42C7-924D-F44073F74AE2}"/>
            </a:ext>
          </a:extLst>
        </xdr:cNvPr>
        <xdr:cNvSpPr txBox="1"/>
      </xdr:nvSpPr>
      <xdr:spPr>
        <a:xfrm>
          <a:off x="2698750" y="2197100"/>
          <a:ext cx="1079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Amount</a:t>
          </a:r>
        </a:p>
      </xdr:txBody>
    </xdr:sp>
    <xdr:clientData/>
  </xdr:twoCellAnchor>
  <xdr:twoCellAnchor>
    <xdr:from>
      <xdr:col>8</xdr:col>
      <xdr:colOff>171450</xdr:colOff>
      <xdr:row>11</xdr:row>
      <xdr:rowOff>177800</xdr:rowOff>
    </xdr:from>
    <xdr:to>
      <xdr:col>10</xdr:col>
      <xdr:colOff>31750</xdr:colOff>
      <xdr:row>13</xdr:row>
      <xdr:rowOff>101600</xdr:rowOff>
    </xdr:to>
    <xdr:sp macro="" textlink="">
      <xdr:nvSpPr>
        <xdr:cNvPr id="28" name="TextBox 27">
          <a:extLst>
            <a:ext uri="{FF2B5EF4-FFF2-40B4-BE49-F238E27FC236}">
              <a16:creationId xmlns:a16="http://schemas.microsoft.com/office/drawing/2014/main" id="{969F13C8-3BDD-4C82-9BE8-27E26772016F}"/>
            </a:ext>
          </a:extLst>
        </xdr:cNvPr>
        <xdr:cNvSpPr txBox="1"/>
      </xdr:nvSpPr>
      <xdr:spPr>
        <a:xfrm>
          <a:off x="5048250" y="2203450"/>
          <a:ext cx="1079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Sales</a:t>
          </a:r>
        </a:p>
      </xdr:txBody>
    </xdr:sp>
    <xdr:clientData/>
  </xdr:twoCellAnchor>
  <xdr:twoCellAnchor editAs="oneCell">
    <xdr:from>
      <xdr:col>7</xdr:col>
      <xdr:colOff>260350</xdr:colOff>
      <xdr:row>12</xdr:row>
      <xdr:rowOff>120650</xdr:rowOff>
    </xdr:from>
    <xdr:to>
      <xdr:col>8</xdr:col>
      <xdr:colOff>95250</xdr:colOff>
      <xdr:row>15</xdr:row>
      <xdr:rowOff>12700</xdr:rowOff>
    </xdr:to>
    <xdr:pic>
      <xdr:nvPicPr>
        <xdr:cNvPr id="30" name="Graphic 29" descr="Business Growth with solid fill">
          <a:extLst>
            <a:ext uri="{FF2B5EF4-FFF2-40B4-BE49-F238E27FC236}">
              <a16:creationId xmlns:a16="http://schemas.microsoft.com/office/drawing/2014/main" id="{469647CD-77C2-49BD-A9C4-B77DE6738BD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527550" y="2330450"/>
          <a:ext cx="444500" cy="444500"/>
        </a:xfrm>
        <a:prstGeom prst="rect">
          <a:avLst/>
        </a:prstGeom>
      </xdr:spPr>
    </xdr:pic>
    <xdr:clientData/>
  </xdr:twoCellAnchor>
  <xdr:twoCellAnchor>
    <xdr:from>
      <xdr:col>10</xdr:col>
      <xdr:colOff>533400</xdr:colOff>
      <xdr:row>11</xdr:row>
      <xdr:rowOff>177800</xdr:rowOff>
    </xdr:from>
    <xdr:to>
      <xdr:col>12</xdr:col>
      <xdr:colOff>463550</xdr:colOff>
      <xdr:row>13</xdr:row>
      <xdr:rowOff>101600</xdr:rowOff>
    </xdr:to>
    <xdr:sp macro="" textlink="">
      <xdr:nvSpPr>
        <xdr:cNvPr id="33" name="TextBox 32">
          <a:extLst>
            <a:ext uri="{FF2B5EF4-FFF2-40B4-BE49-F238E27FC236}">
              <a16:creationId xmlns:a16="http://schemas.microsoft.com/office/drawing/2014/main" id="{BDA6B6CB-D5D2-4539-9632-43957A76CF16}"/>
            </a:ext>
          </a:extLst>
        </xdr:cNvPr>
        <xdr:cNvSpPr txBox="1"/>
      </xdr:nvSpPr>
      <xdr:spPr>
        <a:xfrm>
          <a:off x="6629400" y="2203450"/>
          <a:ext cx="11493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Sale</a:t>
          </a:r>
          <a:r>
            <a:rPr lang="en-IN" sz="1200" b="1" baseline="0"/>
            <a:t> By Month</a:t>
          </a:r>
          <a:endParaRPr lang="en-IN" sz="1200" b="1"/>
        </a:p>
      </xdr:txBody>
    </xdr:sp>
    <xdr:clientData/>
  </xdr:twoCellAnchor>
  <xdr:twoCellAnchor>
    <xdr:from>
      <xdr:col>10</xdr:col>
      <xdr:colOff>514350</xdr:colOff>
      <xdr:row>19</xdr:row>
      <xdr:rowOff>57150</xdr:rowOff>
    </xdr:from>
    <xdr:to>
      <xdr:col>12</xdr:col>
      <xdr:colOff>444500</xdr:colOff>
      <xdr:row>20</xdr:row>
      <xdr:rowOff>165100</xdr:rowOff>
    </xdr:to>
    <xdr:sp macro="" textlink="">
      <xdr:nvSpPr>
        <xdr:cNvPr id="34" name="TextBox 33">
          <a:extLst>
            <a:ext uri="{FF2B5EF4-FFF2-40B4-BE49-F238E27FC236}">
              <a16:creationId xmlns:a16="http://schemas.microsoft.com/office/drawing/2014/main" id="{5148131B-BECE-48D0-BA6A-0578BE82864E}"/>
            </a:ext>
          </a:extLst>
        </xdr:cNvPr>
        <xdr:cNvSpPr txBox="1"/>
      </xdr:nvSpPr>
      <xdr:spPr>
        <a:xfrm>
          <a:off x="6610350" y="3556000"/>
          <a:ext cx="11493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Sale</a:t>
          </a:r>
          <a:r>
            <a:rPr lang="en-IN" sz="1200" b="1" baseline="0"/>
            <a:t> By Region</a:t>
          </a:r>
          <a:endParaRPr lang="en-IN" sz="1200" b="1"/>
        </a:p>
      </xdr:txBody>
    </xdr:sp>
    <xdr:clientData/>
  </xdr:twoCellAnchor>
  <xdr:twoCellAnchor>
    <xdr:from>
      <xdr:col>1</xdr:col>
      <xdr:colOff>76200</xdr:colOff>
      <xdr:row>9</xdr:row>
      <xdr:rowOff>50800</xdr:rowOff>
    </xdr:from>
    <xdr:to>
      <xdr:col>3</xdr:col>
      <xdr:colOff>158750</xdr:colOff>
      <xdr:row>10</xdr:row>
      <xdr:rowOff>171450</xdr:rowOff>
    </xdr:to>
    <xdr:sp macro="" textlink="">
      <xdr:nvSpPr>
        <xdr:cNvPr id="35" name="Rectangle: Rounded Corners 34">
          <a:extLst>
            <a:ext uri="{FF2B5EF4-FFF2-40B4-BE49-F238E27FC236}">
              <a16:creationId xmlns:a16="http://schemas.microsoft.com/office/drawing/2014/main" id="{D73CC92C-58EA-4CDB-867B-126D704196CA}"/>
            </a:ext>
          </a:extLst>
        </xdr:cNvPr>
        <xdr:cNvSpPr/>
      </xdr:nvSpPr>
      <xdr:spPr>
        <a:xfrm>
          <a:off x="685800" y="1708150"/>
          <a:ext cx="1301750" cy="304800"/>
        </a:xfrm>
        <a:prstGeom prst="roundRect">
          <a:avLst>
            <a:gd name="adj" fmla="val 50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DASHBOARD</a:t>
          </a:r>
        </a:p>
      </xdr:txBody>
    </xdr:sp>
    <xdr:clientData/>
  </xdr:twoCellAnchor>
  <xdr:twoCellAnchor>
    <xdr:from>
      <xdr:col>1</xdr:col>
      <xdr:colOff>76200</xdr:colOff>
      <xdr:row>11</xdr:row>
      <xdr:rowOff>88900</xdr:rowOff>
    </xdr:from>
    <xdr:to>
      <xdr:col>3</xdr:col>
      <xdr:colOff>158750</xdr:colOff>
      <xdr:row>13</xdr:row>
      <xdr:rowOff>25400</xdr:rowOff>
    </xdr:to>
    <xdr:sp macro="" textlink="">
      <xdr:nvSpPr>
        <xdr:cNvPr id="37" name="Rectangle: Rounded Corners 36">
          <a:hlinkClick xmlns:r="http://schemas.openxmlformats.org/officeDocument/2006/relationships" r:id="rId5"/>
          <a:extLst>
            <a:ext uri="{FF2B5EF4-FFF2-40B4-BE49-F238E27FC236}">
              <a16:creationId xmlns:a16="http://schemas.microsoft.com/office/drawing/2014/main" id="{65324588-5588-4544-A28E-CA231666EE54}"/>
            </a:ext>
          </a:extLst>
        </xdr:cNvPr>
        <xdr:cNvSpPr/>
      </xdr:nvSpPr>
      <xdr:spPr>
        <a:xfrm>
          <a:off x="685800" y="2114550"/>
          <a:ext cx="1301750" cy="304800"/>
        </a:xfrm>
        <a:prstGeom prst="roundRect">
          <a:avLst>
            <a:gd name="adj" fmla="val 50000"/>
          </a:avLst>
        </a:prstGeom>
        <a:solidFill>
          <a:schemeClr val="accent1"/>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PRODUCTS</a:t>
          </a:r>
        </a:p>
      </xdr:txBody>
    </xdr:sp>
    <xdr:clientData/>
  </xdr:twoCellAnchor>
  <xdr:twoCellAnchor>
    <xdr:from>
      <xdr:col>1</xdr:col>
      <xdr:colOff>82550</xdr:colOff>
      <xdr:row>13</xdr:row>
      <xdr:rowOff>139700</xdr:rowOff>
    </xdr:from>
    <xdr:to>
      <xdr:col>3</xdr:col>
      <xdr:colOff>165100</xdr:colOff>
      <xdr:row>15</xdr:row>
      <xdr:rowOff>76200</xdr:rowOff>
    </xdr:to>
    <xdr:sp macro="" textlink="">
      <xdr:nvSpPr>
        <xdr:cNvPr id="38" name="Rectangle: Rounded Corners 37">
          <a:hlinkClick xmlns:r="http://schemas.openxmlformats.org/officeDocument/2006/relationships" r:id="rId6"/>
          <a:extLst>
            <a:ext uri="{FF2B5EF4-FFF2-40B4-BE49-F238E27FC236}">
              <a16:creationId xmlns:a16="http://schemas.microsoft.com/office/drawing/2014/main" id="{B3779ED4-BC38-4908-AC29-9C998211EA89}"/>
            </a:ext>
          </a:extLst>
        </xdr:cNvPr>
        <xdr:cNvSpPr/>
      </xdr:nvSpPr>
      <xdr:spPr>
        <a:xfrm>
          <a:off x="692150" y="2533650"/>
          <a:ext cx="1301750" cy="304800"/>
        </a:xfrm>
        <a:prstGeom prst="roundRect">
          <a:avLst>
            <a:gd name="adj" fmla="val 50000"/>
          </a:avLst>
        </a:prstGeom>
        <a:solidFill>
          <a:schemeClr val="accent1"/>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SALESMANS</a:t>
          </a:r>
        </a:p>
      </xdr:txBody>
    </xdr:sp>
    <xdr:clientData/>
  </xdr:twoCellAnchor>
  <xdr:twoCellAnchor>
    <xdr:from>
      <xdr:col>1</xdr:col>
      <xdr:colOff>63500</xdr:colOff>
      <xdr:row>16</xdr:row>
      <xdr:rowOff>6350</xdr:rowOff>
    </xdr:from>
    <xdr:to>
      <xdr:col>3</xdr:col>
      <xdr:colOff>146050</xdr:colOff>
      <xdr:row>17</xdr:row>
      <xdr:rowOff>127000</xdr:rowOff>
    </xdr:to>
    <xdr:sp macro="" textlink="">
      <xdr:nvSpPr>
        <xdr:cNvPr id="39" name="Rectangle: Rounded Corners 38">
          <a:hlinkClick xmlns:r="http://schemas.openxmlformats.org/officeDocument/2006/relationships" r:id="rId7"/>
          <a:extLst>
            <a:ext uri="{FF2B5EF4-FFF2-40B4-BE49-F238E27FC236}">
              <a16:creationId xmlns:a16="http://schemas.microsoft.com/office/drawing/2014/main" id="{8B37FCBB-E0BE-4E45-B3F9-72C219719A60}"/>
            </a:ext>
          </a:extLst>
        </xdr:cNvPr>
        <xdr:cNvSpPr/>
      </xdr:nvSpPr>
      <xdr:spPr>
        <a:xfrm>
          <a:off x="673100" y="2952750"/>
          <a:ext cx="1301750" cy="304800"/>
        </a:xfrm>
        <a:prstGeom prst="roundRect">
          <a:avLst>
            <a:gd name="adj" fmla="val 50000"/>
          </a:avLst>
        </a:prstGeom>
        <a:solidFill>
          <a:schemeClr val="accent1"/>
        </a:solid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ABOUT</a:t>
          </a:r>
        </a:p>
      </xdr:txBody>
    </xdr:sp>
    <xdr:clientData/>
  </xdr:twoCellAnchor>
  <xdr:twoCellAnchor>
    <xdr:from>
      <xdr:col>11</xdr:col>
      <xdr:colOff>31750</xdr:colOff>
      <xdr:row>13</xdr:row>
      <xdr:rowOff>51076</xdr:rowOff>
    </xdr:from>
    <xdr:to>
      <xdr:col>17</xdr:col>
      <xdr:colOff>565149</xdr:colOff>
      <xdr:row>18</xdr:row>
      <xdr:rowOff>127000</xdr:rowOff>
    </xdr:to>
    <xdr:graphicFrame macro="">
      <xdr:nvGraphicFramePr>
        <xdr:cNvPr id="40" name="Chart 39">
          <a:extLst>
            <a:ext uri="{FF2B5EF4-FFF2-40B4-BE49-F238E27FC236}">
              <a16:creationId xmlns:a16="http://schemas.microsoft.com/office/drawing/2014/main" id="{B72B16A1-F502-46C6-B54C-88BA910C8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546100</xdr:colOff>
      <xdr:row>20</xdr:row>
      <xdr:rowOff>133350</xdr:rowOff>
    </xdr:from>
    <xdr:to>
      <xdr:col>18</xdr:col>
      <xdr:colOff>19050</xdr:colOff>
      <xdr:row>26</xdr:row>
      <xdr:rowOff>6350</xdr:rowOff>
    </xdr:to>
    <xdr:graphicFrame macro="">
      <xdr:nvGraphicFramePr>
        <xdr:cNvPr id="42" name="Chart 41">
          <a:extLst>
            <a:ext uri="{FF2B5EF4-FFF2-40B4-BE49-F238E27FC236}">
              <a16:creationId xmlns:a16="http://schemas.microsoft.com/office/drawing/2014/main" id="{C4D40429-B1EA-4A8D-8967-E2586BEE7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323850</xdr:colOff>
      <xdr:row>16</xdr:row>
      <xdr:rowOff>50800</xdr:rowOff>
    </xdr:from>
    <xdr:to>
      <xdr:col>5</xdr:col>
      <xdr:colOff>419100</xdr:colOff>
      <xdr:row>17</xdr:row>
      <xdr:rowOff>158750</xdr:rowOff>
    </xdr:to>
    <xdr:sp macro="" textlink="">
      <xdr:nvSpPr>
        <xdr:cNvPr id="43" name="TextBox 42">
          <a:extLst>
            <a:ext uri="{FF2B5EF4-FFF2-40B4-BE49-F238E27FC236}">
              <a16:creationId xmlns:a16="http://schemas.microsoft.com/office/drawing/2014/main" id="{BF661271-D367-48F8-A254-64F25E826A42}"/>
            </a:ext>
          </a:extLst>
        </xdr:cNvPr>
        <xdr:cNvSpPr txBox="1"/>
      </xdr:nvSpPr>
      <xdr:spPr>
        <a:xfrm>
          <a:off x="2152650" y="2997200"/>
          <a:ext cx="13144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Sale</a:t>
          </a:r>
          <a:r>
            <a:rPr lang="en-IN" sz="1200" b="1" baseline="0"/>
            <a:t> By Products</a:t>
          </a:r>
          <a:endParaRPr lang="en-IN" sz="1200" b="1"/>
        </a:p>
      </xdr:txBody>
    </xdr:sp>
    <xdr:clientData/>
  </xdr:twoCellAnchor>
  <xdr:twoCellAnchor>
    <xdr:from>
      <xdr:col>3</xdr:col>
      <xdr:colOff>355600</xdr:colOff>
      <xdr:row>17</xdr:row>
      <xdr:rowOff>76200</xdr:rowOff>
    </xdr:from>
    <xdr:to>
      <xdr:col>10</xdr:col>
      <xdr:colOff>355600</xdr:colOff>
      <xdr:row>26</xdr:row>
      <xdr:rowOff>0</xdr:rowOff>
    </xdr:to>
    <xdr:graphicFrame macro="">
      <xdr:nvGraphicFramePr>
        <xdr:cNvPr id="44" name="Chart 43">
          <a:extLst>
            <a:ext uri="{FF2B5EF4-FFF2-40B4-BE49-F238E27FC236}">
              <a16:creationId xmlns:a16="http://schemas.microsoft.com/office/drawing/2014/main" id="{9CC34994-AE1C-472A-A89D-D3577E5A2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69850</xdr:colOff>
      <xdr:row>9</xdr:row>
      <xdr:rowOff>95250</xdr:rowOff>
    </xdr:from>
    <xdr:to>
      <xdr:col>7</xdr:col>
      <xdr:colOff>539750</xdr:colOff>
      <xdr:row>11</xdr:row>
      <xdr:rowOff>19050</xdr:rowOff>
    </xdr:to>
    <xdr:sp macro="" textlink="">
      <xdr:nvSpPr>
        <xdr:cNvPr id="47" name="TextBox 46">
          <a:extLst>
            <a:ext uri="{FF2B5EF4-FFF2-40B4-BE49-F238E27FC236}">
              <a16:creationId xmlns:a16="http://schemas.microsoft.com/office/drawing/2014/main" id="{02EFBB3E-EF13-41F5-99FA-4406CEF9BA57}"/>
            </a:ext>
          </a:extLst>
        </xdr:cNvPr>
        <xdr:cNvSpPr txBox="1"/>
      </xdr:nvSpPr>
      <xdr:spPr>
        <a:xfrm>
          <a:off x="3727450" y="1752600"/>
          <a:ext cx="10795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p>
      </xdr:txBody>
    </xdr:sp>
    <xdr:clientData/>
  </xdr:twoCellAnchor>
  <xdr:twoCellAnchor>
    <xdr:from>
      <xdr:col>4</xdr:col>
      <xdr:colOff>234950</xdr:colOff>
      <xdr:row>13</xdr:row>
      <xdr:rowOff>31750</xdr:rowOff>
    </xdr:from>
    <xdr:to>
      <xdr:col>6</xdr:col>
      <xdr:colOff>546100</xdr:colOff>
      <xdr:row>14</xdr:row>
      <xdr:rowOff>139700</xdr:rowOff>
    </xdr:to>
    <xdr:sp macro="" textlink="'Pivot Table'!O4">
      <xdr:nvSpPr>
        <xdr:cNvPr id="49" name="TextBox 48">
          <a:extLst>
            <a:ext uri="{FF2B5EF4-FFF2-40B4-BE49-F238E27FC236}">
              <a16:creationId xmlns:a16="http://schemas.microsoft.com/office/drawing/2014/main" id="{FE246D06-7D61-40D4-A9B6-DA07A220A0E6}"/>
            </a:ext>
          </a:extLst>
        </xdr:cNvPr>
        <xdr:cNvSpPr txBox="1"/>
      </xdr:nvSpPr>
      <xdr:spPr>
        <a:xfrm>
          <a:off x="2673350" y="2425700"/>
          <a:ext cx="15303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6F8244-CBA1-434E-9360-C3053B884C32}" type="TxLink">
            <a:rPr lang="en-US" sz="1600" b="1" i="0" u="none" strike="noStrike">
              <a:solidFill>
                <a:srgbClr val="000000"/>
              </a:solidFill>
              <a:latin typeface="Calibri"/>
              <a:ea typeface="Calibri"/>
              <a:cs typeface="Calibri"/>
            </a:rPr>
            <a:pPr/>
            <a:t>3,43,200</a:t>
          </a:fld>
          <a:endParaRPr lang="en-IN" sz="1800" b="1"/>
        </a:p>
      </xdr:txBody>
    </xdr:sp>
    <xdr:clientData/>
  </xdr:twoCellAnchor>
  <xdr:twoCellAnchor>
    <xdr:from>
      <xdr:col>8</xdr:col>
      <xdr:colOff>196850</xdr:colOff>
      <xdr:row>13</xdr:row>
      <xdr:rowOff>50800</xdr:rowOff>
    </xdr:from>
    <xdr:to>
      <xdr:col>10</xdr:col>
      <xdr:colOff>508000</xdr:colOff>
      <xdr:row>14</xdr:row>
      <xdr:rowOff>158750</xdr:rowOff>
    </xdr:to>
    <xdr:sp macro="" textlink="'Pivot Table'!O9">
      <xdr:nvSpPr>
        <xdr:cNvPr id="50" name="TextBox 49">
          <a:extLst>
            <a:ext uri="{FF2B5EF4-FFF2-40B4-BE49-F238E27FC236}">
              <a16:creationId xmlns:a16="http://schemas.microsoft.com/office/drawing/2014/main" id="{F96B858E-4CE9-4A6A-BD5C-F7DC84A52050}"/>
            </a:ext>
          </a:extLst>
        </xdr:cNvPr>
        <xdr:cNvSpPr txBox="1"/>
      </xdr:nvSpPr>
      <xdr:spPr>
        <a:xfrm>
          <a:off x="5073650" y="2444750"/>
          <a:ext cx="15303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368996-20ED-47CB-B533-CC29C9550E75}" type="TxLink">
            <a:rPr lang="en-US" sz="1600" b="1" i="0" u="none" strike="noStrike">
              <a:solidFill>
                <a:srgbClr val="000000"/>
              </a:solidFill>
              <a:latin typeface="Calibri"/>
              <a:ea typeface="Calibri"/>
              <a:cs typeface="Calibri"/>
            </a:rPr>
            <a:pPr/>
            <a:t>63</a:t>
          </a:fld>
          <a:endParaRPr lang="en-IN" sz="28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20</xdr:col>
      <xdr:colOff>371475</xdr:colOff>
      <xdr:row>0</xdr:row>
      <xdr:rowOff>177800</xdr:rowOff>
    </xdr:from>
    <xdr:to>
      <xdr:col>28</xdr:col>
      <xdr:colOff>66675</xdr:colOff>
      <xdr:row>8</xdr:row>
      <xdr:rowOff>139700</xdr:rowOff>
    </xdr:to>
    <xdr:graphicFrame macro="">
      <xdr:nvGraphicFramePr>
        <xdr:cNvPr id="8" name="Chart 7">
          <a:extLst>
            <a:ext uri="{FF2B5EF4-FFF2-40B4-BE49-F238E27FC236}">
              <a16:creationId xmlns:a16="http://schemas.microsoft.com/office/drawing/2014/main" id="{5A54227C-A3C3-4400-B331-B3C15DDE3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9525</xdr:colOff>
      <xdr:row>10</xdr:row>
      <xdr:rowOff>95250</xdr:rowOff>
    </xdr:from>
    <xdr:to>
      <xdr:col>27</xdr:col>
      <xdr:colOff>419100</xdr:colOff>
      <xdr:row>18</xdr:row>
      <xdr:rowOff>95250</xdr:rowOff>
    </xdr:to>
    <xdr:graphicFrame macro="">
      <xdr:nvGraphicFramePr>
        <xdr:cNvPr id="9" name="Chart 8">
          <a:extLst>
            <a:ext uri="{FF2B5EF4-FFF2-40B4-BE49-F238E27FC236}">
              <a16:creationId xmlns:a16="http://schemas.microsoft.com/office/drawing/2014/main" id="{08D5C252-87D0-439D-A24D-DC1F0ED67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31750</xdr:colOff>
      <xdr:row>20</xdr:row>
      <xdr:rowOff>82550</xdr:rowOff>
    </xdr:from>
    <xdr:to>
      <xdr:col>28</xdr:col>
      <xdr:colOff>336550</xdr:colOff>
      <xdr:row>32</xdr:row>
      <xdr:rowOff>6350</xdr:rowOff>
    </xdr:to>
    <xdr:graphicFrame macro="">
      <xdr:nvGraphicFramePr>
        <xdr:cNvPr id="10" name="Chart 9">
          <a:extLst>
            <a:ext uri="{FF2B5EF4-FFF2-40B4-BE49-F238E27FC236}">
              <a16:creationId xmlns:a16="http://schemas.microsoft.com/office/drawing/2014/main" id="{54E36DAA-4534-4B4B-A210-38908F596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203200</xdr:colOff>
      <xdr:row>35</xdr:row>
      <xdr:rowOff>120650</xdr:rowOff>
    </xdr:from>
    <xdr:to>
      <xdr:col>27</xdr:col>
      <xdr:colOff>508000</xdr:colOff>
      <xdr:row>46</xdr:row>
      <xdr:rowOff>57150</xdr:rowOff>
    </xdr:to>
    <xdr:graphicFrame macro="">
      <xdr:nvGraphicFramePr>
        <xdr:cNvPr id="11" name="Chart 10">
          <a:extLst>
            <a:ext uri="{FF2B5EF4-FFF2-40B4-BE49-F238E27FC236}">
              <a16:creationId xmlns:a16="http://schemas.microsoft.com/office/drawing/2014/main" id="{39FDA201-9BC9-4703-B128-F1DA7D1E0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428625</xdr:colOff>
      <xdr:row>48</xdr:row>
      <xdr:rowOff>107950</xdr:rowOff>
    </xdr:from>
    <xdr:to>
      <xdr:col>28</xdr:col>
      <xdr:colOff>123825</xdr:colOff>
      <xdr:row>58</xdr:row>
      <xdr:rowOff>50800</xdr:rowOff>
    </xdr:to>
    <xdr:graphicFrame macro="">
      <xdr:nvGraphicFramePr>
        <xdr:cNvPr id="12" name="Chart 11">
          <a:extLst>
            <a:ext uri="{FF2B5EF4-FFF2-40B4-BE49-F238E27FC236}">
              <a16:creationId xmlns:a16="http://schemas.microsoft.com/office/drawing/2014/main" id="{D37AA463-74D4-497F-A3C1-0BFD7068A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552450</xdr:colOff>
      <xdr:row>63</xdr:row>
      <xdr:rowOff>127000</xdr:rowOff>
    </xdr:from>
    <xdr:to>
      <xdr:col>28</xdr:col>
      <xdr:colOff>247650</xdr:colOff>
      <xdr:row>78</xdr:row>
      <xdr:rowOff>107950</xdr:rowOff>
    </xdr:to>
    <xdr:graphicFrame macro="">
      <xdr:nvGraphicFramePr>
        <xdr:cNvPr id="13" name="Chart 12">
          <a:extLst>
            <a:ext uri="{FF2B5EF4-FFF2-40B4-BE49-F238E27FC236}">
              <a16:creationId xmlns:a16="http://schemas.microsoft.com/office/drawing/2014/main" id="{8C8857E7-9373-4917-AB78-EE36CDEFC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lleshwari Kothare" refreshedDate="46115.660337499998" createdVersion="7" refreshedVersion="7" minRefreshableVersion="3" recordCount="300" xr:uid="{BAAED4E4-0282-4F7D-B76D-504FF52B1CF6}">
  <cacheSource type="worksheet">
    <worksheetSource ref="A1:H301" sheet="Data"/>
  </cacheSource>
  <cacheFields count="9">
    <cacheField name="S No" numFmtId="0">
      <sharedItems containsSemiMixedTypes="0" containsString="0" containsNumber="1" containsInteger="1" minValue="1" maxValue="300"/>
    </cacheField>
    <cacheField name="Date" numFmtId="14">
      <sharedItems containsSemiMixedTypes="0" containsNonDate="0" containsDate="1" containsString="0" minDate="2021-01-01T00:00:00" maxDate="2021-10-28T00:00:00" count="3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sharedItems>
      <fieldGroup par="8" base="1">
        <rangePr groupBy="days" startDate="2021-01-01T00:00:00" endDate="2021-10-28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1"/>
        </groupItems>
      </fieldGroup>
    </cacheField>
    <cacheField name="Salesman" numFmtId="0">
      <sharedItems count="6">
        <s v="Ajit Kumar"/>
        <s v="Ramesh"/>
        <s v="Chandu"/>
        <s v="Amit"/>
        <s v="Siddhu"/>
        <s v="Rohit Das"/>
      </sharedItems>
    </cacheField>
    <cacheField name="Region" numFmtId="0">
      <sharedItems count="4">
        <s v="West"/>
        <s v="North"/>
        <s v="East"/>
        <s v="South"/>
      </sharedItems>
    </cacheField>
    <cacheField name="Item" numFmtId="0">
      <sharedItems count="6">
        <s v="Speaker"/>
        <s v="Scanner"/>
        <s v="Mouse"/>
        <s v="Monitor"/>
        <s v="Keyboard"/>
        <s v="Printer"/>
      </sharedItems>
    </cacheField>
    <cacheField name="Qty" numFmtId="2">
      <sharedItems containsSemiMixedTypes="0" containsString="0" containsNumber="1" containsInteger="1" minValue="2" maxValue="7"/>
    </cacheField>
    <cacheField name="Price" numFmtId="2">
      <sharedItems containsSemiMixedTypes="0" containsString="0" containsNumber="1" containsInteger="1" minValue="190" maxValue="2100"/>
    </cacheField>
    <cacheField name="Amount" numFmtId="2">
      <sharedItems containsSemiMixedTypes="0" containsString="0" containsNumber="1" containsInteger="1" minValue="380" maxValue="14700" count="33">
        <n v="1500"/>
        <n v="7500"/>
        <n v="1470"/>
        <n v="2400"/>
        <n v="6000"/>
        <n v="950"/>
        <n v="4800"/>
        <n v="1050"/>
        <n v="420"/>
        <n v="9000"/>
        <n v="630"/>
        <n v="3600"/>
        <n v="14700"/>
        <n v="8400"/>
        <n v="760"/>
        <n v="380"/>
        <n v="3000"/>
        <n v="7200"/>
        <n v="1800"/>
        <n v="1200"/>
        <n v="10500"/>
        <n v="4500"/>
        <n v="900"/>
        <n v="1260"/>
        <n v="12600"/>
        <n v="2100"/>
        <n v="1330"/>
        <n v="1140"/>
        <n v="840"/>
        <n v="4200"/>
        <n v="600"/>
        <n v="570"/>
        <n v="6300"/>
      </sharedItems>
    </cacheField>
    <cacheField name="Months" numFmtId="0" databaseField="0">
      <fieldGroup base="1">
        <rangePr groupBy="months" startDate="2021-01-01T00:00:00" endDate="2021-10-28T00:00:00"/>
        <groupItems count="14">
          <s v="&lt;01-01-2021"/>
          <s v="Jan"/>
          <s v="Feb"/>
          <s v="Mar"/>
          <s v="Apr"/>
          <s v="May"/>
          <s v="Jun"/>
          <s v="Jul"/>
          <s v="Aug"/>
          <s v="Sep"/>
          <s v="Oct"/>
          <s v="Nov"/>
          <s v="Dec"/>
          <s v="&gt;28-10-2021"/>
        </groupItems>
      </fieldGroup>
    </cacheField>
  </cacheFields>
  <extLst>
    <ext xmlns:x14="http://schemas.microsoft.com/office/spreadsheetml/2009/9/main" uri="{725AE2AE-9491-48be-B2B4-4EB974FC3084}">
      <x14:pivotCacheDefinition pivotCacheId="1274154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x v="0"/>
    <x v="0"/>
    <x v="0"/>
    <x v="0"/>
    <n v="5"/>
    <n v="300"/>
    <x v="0"/>
  </r>
  <r>
    <n v="2"/>
    <x v="1"/>
    <x v="1"/>
    <x v="1"/>
    <x v="1"/>
    <n v="5"/>
    <n v="1500"/>
    <x v="1"/>
  </r>
  <r>
    <n v="3"/>
    <x v="2"/>
    <x v="1"/>
    <x v="2"/>
    <x v="2"/>
    <n v="7"/>
    <n v="210"/>
    <x v="2"/>
  </r>
  <r>
    <n v="4"/>
    <x v="3"/>
    <x v="2"/>
    <x v="1"/>
    <x v="3"/>
    <n v="2"/>
    <n v="1200"/>
    <x v="3"/>
  </r>
  <r>
    <n v="5"/>
    <x v="4"/>
    <x v="3"/>
    <x v="1"/>
    <x v="3"/>
    <n v="5"/>
    <n v="1200"/>
    <x v="4"/>
  </r>
  <r>
    <n v="6"/>
    <x v="5"/>
    <x v="3"/>
    <x v="0"/>
    <x v="4"/>
    <n v="5"/>
    <n v="190"/>
    <x v="5"/>
  </r>
  <r>
    <n v="7"/>
    <x v="6"/>
    <x v="2"/>
    <x v="3"/>
    <x v="3"/>
    <n v="4"/>
    <n v="1200"/>
    <x v="6"/>
  </r>
  <r>
    <n v="8"/>
    <x v="7"/>
    <x v="0"/>
    <x v="2"/>
    <x v="1"/>
    <n v="5"/>
    <n v="1500"/>
    <x v="1"/>
  </r>
  <r>
    <n v="9"/>
    <x v="8"/>
    <x v="4"/>
    <x v="1"/>
    <x v="2"/>
    <n v="5"/>
    <n v="210"/>
    <x v="7"/>
  </r>
  <r>
    <n v="10"/>
    <x v="9"/>
    <x v="0"/>
    <x v="3"/>
    <x v="2"/>
    <n v="2"/>
    <n v="210"/>
    <x v="8"/>
  </r>
  <r>
    <n v="11"/>
    <x v="10"/>
    <x v="0"/>
    <x v="1"/>
    <x v="1"/>
    <n v="6"/>
    <n v="1500"/>
    <x v="9"/>
  </r>
  <r>
    <n v="12"/>
    <x v="11"/>
    <x v="1"/>
    <x v="2"/>
    <x v="1"/>
    <n v="5"/>
    <n v="1500"/>
    <x v="1"/>
  </r>
  <r>
    <n v="13"/>
    <x v="12"/>
    <x v="2"/>
    <x v="3"/>
    <x v="2"/>
    <n v="3"/>
    <n v="210"/>
    <x v="10"/>
  </r>
  <r>
    <n v="14"/>
    <x v="13"/>
    <x v="3"/>
    <x v="0"/>
    <x v="3"/>
    <n v="3"/>
    <n v="1200"/>
    <x v="11"/>
  </r>
  <r>
    <n v="15"/>
    <x v="14"/>
    <x v="4"/>
    <x v="2"/>
    <x v="5"/>
    <n v="7"/>
    <n v="2100"/>
    <x v="12"/>
  </r>
  <r>
    <n v="16"/>
    <x v="15"/>
    <x v="2"/>
    <x v="0"/>
    <x v="3"/>
    <n v="7"/>
    <n v="1200"/>
    <x v="13"/>
  </r>
  <r>
    <n v="17"/>
    <x v="16"/>
    <x v="3"/>
    <x v="2"/>
    <x v="5"/>
    <n v="7"/>
    <n v="2100"/>
    <x v="12"/>
  </r>
  <r>
    <n v="18"/>
    <x v="17"/>
    <x v="0"/>
    <x v="1"/>
    <x v="4"/>
    <n v="4"/>
    <n v="190"/>
    <x v="14"/>
  </r>
  <r>
    <n v="19"/>
    <x v="18"/>
    <x v="1"/>
    <x v="0"/>
    <x v="4"/>
    <n v="2"/>
    <n v="190"/>
    <x v="15"/>
  </r>
  <r>
    <n v="20"/>
    <x v="19"/>
    <x v="4"/>
    <x v="2"/>
    <x v="3"/>
    <n v="4"/>
    <n v="1200"/>
    <x v="6"/>
  </r>
  <r>
    <n v="21"/>
    <x v="20"/>
    <x v="4"/>
    <x v="1"/>
    <x v="2"/>
    <n v="2"/>
    <n v="210"/>
    <x v="8"/>
  </r>
  <r>
    <n v="22"/>
    <x v="21"/>
    <x v="3"/>
    <x v="1"/>
    <x v="1"/>
    <n v="4"/>
    <n v="1500"/>
    <x v="4"/>
  </r>
  <r>
    <n v="23"/>
    <x v="22"/>
    <x v="3"/>
    <x v="3"/>
    <x v="3"/>
    <n v="5"/>
    <n v="1200"/>
    <x v="4"/>
  </r>
  <r>
    <n v="24"/>
    <x v="23"/>
    <x v="2"/>
    <x v="0"/>
    <x v="4"/>
    <n v="4"/>
    <n v="190"/>
    <x v="14"/>
  </r>
  <r>
    <n v="25"/>
    <x v="24"/>
    <x v="4"/>
    <x v="0"/>
    <x v="1"/>
    <n v="5"/>
    <n v="1500"/>
    <x v="1"/>
  </r>
  <r>
    <n v="26"/>
    <x v="25"/>
    <x v="5"/>
    <x v="0"/>
    <x v="0"/>
    <n v="5"/>
    <n v="300"/>
    <x v="0"/>
  </r>
  <r>
    <n v="27"/>
    <x v="26"/>
    <x v="3"/>
    <x v="2"/>
    <x v="3"/>
    <n v="3"/>
    <n v="1200"/>
    <x v="11"/>
  </r>
  <r>
    <n v="28"/>
    <x v="27"/>
    <x v="1"/>
    <x v="1"/>
    <x v="3"/>
    <n v="7"/>
    <n v="1200"/>
    <x v="13"/>
  </r>
  <r>
    <n v="29"/>
    <x v="28"/>
    <x v="2"/>
    <x v="0"/>
    <x v="1"/>
    <n v="2"/>
    <n v="1500"/>
    <x v="16"/>
  </r>
  <r>
    <n v="30"/>
    <x v="29"/>
    <x v="5"/>
    <x v="2"/>
    <x v="3"/>
    <n v="6"/>
    <n v="1200"/>
    <x v="17"/>
  </r>
  <r>
    <n v="31"/>
    <x v="30"/>
    <x v="0"/>
    <x v="1"/>
    <x v="1"/>
    <n v="4"/>
    <n v="1500"/>
    <x v="4"/>
  </r>
  <r>
    <n v="32"/>
    <x v="31"/>
    <x v="2"/>
    <x v="1"/>
    <x v="3"/>
    <n v="2"/>
    <n v="1200"/>
    <x v="3"/>
  </r>
  <r>
    <n v="33"/>
    <x v="32"/>
    <x v="0"/>
    <x v="3"/>
    <x v="0"/>
    <n v="6"/>
    <n v="300"/>
    <x v="18"/>
  </r>
  <r>
    <n v="34"/>
    <x v="33"/>
    <x v="4"/>
    <x v="2"/>
    <x v="0"/>
    <n v="4"/>
    <n v="300"/>
    <x v="19"/>
  </r>
  <r>
    <n v="35"/>
    <x v="34"/>
    <x v="1"/>
    <x v="1"/>
    <x v="3"/>
    <n v="3"/>
    <n v="1200"/>
    <x v="11"/>
  </r>
  <r>
    <n v="36"/>
    <x v="35"/>
    <x v="5"/>
    <x v="1"/>
    <x v="0"/>
    <n v="6"/>
    <n v="300"/>
    <x v="18"/>
  </r>
  <r>
    <n v="37"/>
    <x v="36"/>
    <x v="3"/>
    <x v="3"/>
    <x v="0"/>
    <n v="5"/>
    <n v="300"/>
    <x v="0"/>
  </r>
  <r>
    <n v="38"/>
    <x v="37"/>
    <x v="5"/>
    <x v="1"/>
    <x v="5"/>
    <n v="5"/>
    <n v="2100"/>
    <x v="20"/>
  </r>
  <r>
    <n v="39"/>
    <x v="38"/>
    <x v="3"/>
    <x v="2"/>
    <x v="3"/>
    <n v="6"/>
    <n v="1200"/>
    <x v="17"/>
  </r>
  <r>
    <n v="40"/>
    <x v="39"/>
    <x v="0"/>
    <x v="1"/>
    <x v="1"/>
    <n v="3"/>
    <n v="1500"/>
    <x v="21"/>
  </r>
  <r>
    <n v="41"/>
    <x v="40"/>
    <x v="1"/>
    <x v="1"/>
    <x v="1"/>
    <n v="7"/>
    <n v="1500"/>
    <x v="20"/>
  </r>
  <r>
    <n v="42"/>
    <x v="41"/>
    <x v="5"/>
    <x v="0"/>
    <x v="1"/>
    <n v="2"/>
    <n v="1500"/>
    <x v="16"/>
  </r>
  <r>
    <n v="43"/>
    <x v="42"/>
    <x v="3"/>
    <x v="3"/>
    <x v="1"/>
    <n v="5"/>
    <n v="1500"/>
    <x v="1"/>
  </r>
  <r>
    <n v="44"/>
    <x v="43"/>
    <x v="0"/>
    <x v="0"/>
    <x v="1"/>
    <n v="5"/>
    <n v="1500"/>
    <x v="1"/>
  </r>
  <r>
    <n v="45"/>
    <x v="44"/>
    <x v="4"/>
    <x v="1"/>
    <x v="0"/>
    <n v="3"/>
    <n v="300"/>
    <x v="22"/>
  </r>
  <r>
    <n v="46"/>
    <x v="45"/>
    <x v="0"/>
    <x v="3"/>
    <x v="1"/>
    <n v="5"/>
    <n v="1500"/>
    <x v="1"/>
  </r>
  <r>
    <n v="47"/>
    <x v="46"/>
    <x v="5"/>
    <x v="2"/>
    <x v="2"/>
    <n v="6"/>
    <n v="210"/>
    <x v="23"/>
  </r>
  <r>
    <n v="48"/>
    <x v="47"/>
    <x v="0"/>
    <x v="3"/>
    <x v="5"/>
    <n v="6"/>
    <n v="2100"/>
    <x v="24"/>
  </r>
  <r>
    <n v="49"/>
    <x v="48"/>
    <x v="0"/>
    <x v="0"/>
    <x v="1"/>
    <n v="3"/>
    <n v="1500"/>
    <x v="21"/>
  </r>
  <r>
    <n v="50"/>
    <x v="49"/>
    <x v="1"/>
    <x v="2"/>
    <x v="3"/>
    <n v="2"/>
    <n v="1200"/>
    <x v="3"/>
  </r>
  <r>
    <n v="51"/>
    <x v="50"/>
    <x v="1"/>
    <x v="3"/>
    <x v="0"/>
    <n v="7"/>
    <n v="300"/>
    <x v="25"/>
  </r>
  <r>
    <n v="52"/>
    <x v="51"/>
    <x v="4"/>
    <x v="1"/>
    <x v="1"/>
    <n v="3"/>
    <n v="1500"/>
    <x v="21"/>
  </r>
  <r>
    <n v="53"/>
    <x v="52"/>
    <x v="5"/>
    <x v="3"/>
    <x v="5"/>
    <n v="7"/>
    <n v="2100"/>
    <x v="12"/>
  </r>
  <r>
    <n v="54"/>
    <x v="53"/>
    <x v="4"/>
    <x v="1"/>
    <x v="4"/>
    <n v="4"/>
    <n v="190"/>
    <x v="14"/>
  </r>
  <r>
    <n v="55"/>
    <x v="54"/>
    <x v="0"/>
    <x v="2"/>
    <x v="5"/>
    <n v="7"/>
    <n v="2100"/>
    <x v="12"/>
  </r>
  <r>
    <n v="56"/>
    <x v="55"/>
    <x v="2"/>
    <x v="2"/>
    <x v="2"/>
    <n v="6"/>
    <n v="210"/>
    <x v="23"/>
  </r>
  <r>
    <n v="57"/>
    <x v="56"/>
    <x v="1"/>
    <x v="0"/>
    <x v="4"/>
    <n v="7"/>
    <n v="190"/>
    <x v="26"/>
  </r>
  <r>
    <n v="58"/>
    <x v="57"/>
    <x v="4"/>
    <x v="2"/>
    <x v="4"/>
    <n v="7"/>
    <n v="190"/>
    <x v="26"/>
  </r>
  <r>
    <n v="59"/>
    <x v="58"/>
    <x v="2"/>
    <x v="0"/>
    <x v="4"/>
    <n v="6"/>
    <n v="190"/>
    <x v="27"/>
  </r>
  <r>
    <n v="60"/>
    <x v="59"/>
    <x v="1"/>
    <x v="3"/>
    <x v="5"/>
    <n v="5"/>
    <n v="2100"/>
    <x v="20"/>
  </r>
  <r>
    <n v="61"/>
    <x v="60"/>
    <x v="2"/>
    <x v="2"/>
    <x v="5"/>
    <n v="5"/>
    <n v="2100"/>
    <x v="20"/>
  </r>
  <r>
    <n v="62"/>
    <x v="61"/>
    <x v="1"/>
    <x v="2"/>
    <x v="5"/>
    <n v="7"/>
    <n v="2100"/>
    <x v="12"/>
  </r>
  <r>
    <n v="63"/>
    <x v="62"/>
    <x v="0"/>
    <x v="1"/>
    <x v="0"/>
    <n v="5"/>
    <n v="300"/>
    <x v="0"/>
  </r>
  <r>
    <n v="64"/>
    <x v="63"/>
    <x v="0"/>
    <x v="2"/>
    <x v="5"/>
    <n v="7"/>
    <n v="2100"/>
    <x v="12"/>
  </r>
  <r>
    <n v="65"/>
    <x v="64"/>
    <x v="3"/>
    <x v="3"/>
    <x v="1"/>
    <n v="3"/>
    <n v="1500"/>
    <x v="21"/>
  </r>
  <r>
    <n v="66"/>
    <x v="65"/>
    <x v="5"/>
    <x v="0"/>
    <x v="1"/>
    <n v="6"/>
    <n v="1500"/>
    <x v="9"/>
  </r>
  <r>
    <n v="67"/>
    <x v="66"/>
    <x v="5"/>
    <x v="3"/>
    <x v="2"/>
    <n v="4"/>
    <n v="210"/>
    <x v="28"/>
  </r>
  <r>
    <n v="68"/>
    <x v="67"/>
    <x v="2"/>
    <x v="3"/>
    <x v="5"/>
    <n v="2"/>
    <n v="2100"/>
    <x v="29"/>
  </r>
  <r>
    <n v="69"/>
    <x v="68"/>
    <x v="0"/>
    <x v="3"/>
    <x v="1"/>
    <n v="5"/>
    <n v="1500"/>
    <x v="1"/>
  </r>
  <r>
    <n v="70"/>
    <x v="69"/>
    <x v="3"/>
    <x v="1"/>
    <x v="3"/>
    <n v="6"/>
    <n v="1200"/>
    <x v="17"/>
  </r>
  <r>
    <n v="71"/>
    <x v="70"/>
    <x v="4"/>
    <x v="2"/>
    <x v="5"/>
    <n v="7"/>
    <n v="2100"/>
    <x v="12"/>
  </r>
  <r>
    <n v="72"/>
    <x v="71"/>
    <x v="3"/>
    <x v="0"/>
    <x v="3"/>
    <n v="3"/>
    <n v="1200"/>
    <x v="11"/>
  </r>
  <r>
    <n v="73"/>
    <x v="72"/>
    <x v="1"/>
    <x v="3"/>
    <x v="4"/>
    <n v="5"/>
    <n v="190"/>
    <x v="5"/>
  </r>
  <r>
    <n v="74"/>
    <x v="73"/>
    <x v="0"/>
    <x v="3"/>
    <x v="0"/>
    <n v="5"/>
    <n v="300"/>
    <x v="0"/>
  </r>
  <r>
    <n v="75"/>
    <x v="74"/>
    <x v="0"/>
    <x v="0"/>
    <x v="0"/>
    <n v="3"/>
    <n v="300"/>
    <x v="22"/>
  </r>
  <r>
    <n v="76"/>
    <x v="75"/>
    <x v="1"/>
    <x v="2"/>
    <x v="1"/>
    <n v="7"/>
    <n v="1500"/>
    <x v="20"/>
  </r>
  <r>
    <n v="77"/>
    <x v="76"/>
    <x v="4"/>
    <x v="3"/>
    <x v="3"/>
    <n v="4"/>
    <n v="1200"/>
    <x v="6"/>
  </r>
  <r>
    <n v="78"/>
    <x v="77"/>
    <x v="5"/>
    <x v="2"/>
    <x v="3"/>
    <n v="5"/>
    <n v="1200"/>
    <x v="4"/>
  </r>
  <r>
    <n v="79"/>
    <x v="78"/>
    <x v="5"/>
    <x v="2"/>
    <x v="1"/>
    <n v="4"/>
    <n v="1500"/>
    <x v="4"/>
  </r>
  <r>
    <n v="80"/>
    <x v="79"/>
    <x v="5"/>
    <x v="0"/>
    <x v="3"/>
    <n v="3"/>
    <n v="1200"/>
    <x v="11"/>
  </r>
  <r>
    <n v="81"/>
    <x v="80"/>
    <x v="5"/>
    <x v="3"/>
    <x v="0"/>
    <n v="7"/>
    <n v="300"/>
    <x v="25"/>
  </r>
  <r>
    <n v="82"/>
    <x v="81"/>
    <x v="3"/>
    <x v="1"/>
    <x v="2"/>
    <n v="4"/>
    <n v="210"/>
    <x v="28"/>
  </r>
  <r>
    <n v="83"/>
    <x v="82"/>
    <x v="4"/>
    <x v="0"/>
    <x v="3"/>
    <n v="5"/>
    <n v="1200"/>
    <x v="4"/>
  </r>
  <r>
    <n v="84"/>
    <x v="83"/>
    <x v="3"/>
    <x v="1"/>
    <x v="3"/>
    <n v="3"/>
    <n v="1200"/>
    <x v="11"/>
  </r>
  <r>
    <n v="85"/>
    <x v="84"/>
    <x v="0"/>
    <x v="3"/>
    <x v="4"/>
    <n v="5"/>
    <n v="190"/>
    <x v="5"/>
  </r>
  <r>
    <n v="86"/>
    <x v="85"/>
    <x v="2"/>
    <x v="1"/>
    <x v="5"/>
    <n v="6"/>
    <n v="2100"/>
    <x v="24"/>
  </r>
  <r>
    <n v="87"/>
    <x v="86"/>
    <x v="3"/>
    <x v="2"/>
    <x v="4"/>
    <n v="7"/>
    <n v="190"/>
    <x v="26"/>
  </r>
  <r>
    <n v="88"/>
    <x v="87"/>
    <x v="2"/>
    <x v="1"/>
    <x v="5"/>
    <n v="2"/>
    <n v="2100"/>
    <x v="29"/>
  </r>
  <r>
    <n v="89"/>
    <x v="88"/>
    <x v="1"/>
    <x v="1"/>
    <x v="0"/>
    <n v="2"/>
    <n v="300"/>
    <x v="30"/>
  </r>
  <r>
    <n v="90"/>
    <x v="89"/>
    <x v="1"/>
    <x v="1"/>
    <x v="2"/>
    <n v="4"/>
    <n v="210"/>
    <x v="28"/>
  </r>
  <r>
    <n v="91"/>
    <x v="90"/>
    <x v="4"/>
    <x v="3"/>
    <x v="3"/>
    <n v="4"/>
    <n v="1200"/>
    <x v="6"/>
  </r>
  <r>
    <n v="92"/>
    <x v="91"/>
    <x v="4"/>
    <x v="0"/>
    <x v="0"/>
    <n v="4"/>
    <n v="300"/>
    <x v="19"/>
  </r>
  <r>
    <n v="93"/>
    <x v="92"/>
    <x v="4"/>
    <x v="3"/>
    <x v="4"/>
    <n v="5"/>
    <n v="190"/>
    <x v="5"/>
  </r>
  <r>
    <n v="94"/>
    <x v="93"/>
    <x v="5"/>
    <x v="0"/>
    <x v="5"/>
    <n v="7"/>
    <n v="2100"/>
    <x v="12"/>
  </r>
  <r>
    <n v="95"/>
    <x v="94"/>
    <x v="1"/>
    <x v="3"/>
    <x v="2"/>
    <n v="2"/>
    <n v="210"/>
    <x v="8"/>
  </r>
  <r>
    <n v="96"/>
    <x v="95"/>
    <x v="3"/>
    <x v="0"/>
    <x v="3"/>
    <n v="4"/>
    <n v="1200"/>
    <x v="6"/>
  </r>
  <r>
    <n v="97"/>
    <x v="96"/>
    <x v="5"/>
    <x v="0"/>
    <x v="4"/>
    <n v="7"/>
    <n v="190"/>
    <x v="26"/>
  </r>
  <r>
    <n v="98"/>
    <x v="97"/>
    <x v="3"/>
    <x v="1"/>
    <x v="1"/>
    <n v="5"/>
    <n v="1500"/>
    <x v="1"/>
  </r>
  <r>
    <n v="99"/>
    <x v="98"/>
    <x v="3"/>
    <x v="1"/>
    <x v="5"/>
    <n v="4"/>
    <n v="2100"/>
    <x v="13"/>
  </r>
  <r>
    <n v="100"/>
    <x v="99"/>
    <x v="2"/>
    <x v="0"/>
    <x v="1"/>
    <n v="2"/>
    <n v="1500"/>
    <x v="16"/>
  </r>
  <r>
    <n v="101"/>
    <x v="100"/>
    <x v="0"/>
    <x v="0"/>
    <x v="0"/>
    <n v="7"/>
    <n v="300"/>
    <x v="25"/>
  </r>
  <r>
    <n v="102"/>
    <x v="101"/>
    <x v="0"/>
    <x v="2"/>
    <x v="4"/>
    <n v="4"/>
    <n v="190"/>
    <x v="14"/>
  </r>
  <r>
    <n v="103"/>
    <x v="102"/>
    <x v="5"/>
    <x v="1"/>
    <x v="1"/>
    <n v="6"/>
    <n v="1500"/>
    <x v="9"/>
  </r>
  <r>
    <n v="104"/>
    <x v="103"/>
    <x v="1"/>
    <x v="0"/>
    <x v="3"/>
    <n v="3"/>
    <n v="1200"/>
    <x v="11"/>
  </r>
  <r>
    <n v="105"/>
    <x v="104"/>
    <x v="5"/>
    <x v="3"/>
    <x v="0"/>
    <n v="4"/>
    <n v="300"/>
    <x v="19"/>
  </r>
  <r>
    <n v="106"/>
    <x v="105"/>
    <x v="4"/>
    <x v="2"/>
    <x v="4"/>
    <n v="3"/>
    <n v="190"/>
    <x v="31"/>
  </r>
  <r>
    <n v="107"/>
    <x v="106"/>
    <x v="0"/>
    <x v="1"/>
    <x v="2"/>
    <n v="4"/>
    <n v="210"/>
    <x v="28"/>
  </r>
  <r>
    <n v="108"/>
    <x v="107"/>
    <x v="2"/>
    <x v="3"/>
    <x v="0"/>
    <n v="5"/>
    <n v="300"/>
    <x v="0"/>
  </r>
  <r>
    <n v="109"/>
    <x v="108"/>
    <x v="0"/>
    <x v="0"/>
    <x v="5"/>
    <n v="3"/>
    <n v="2100"/>
    <x v="32"/>
  </r>
  <r>
    <n v="110"/>
    <x v="109"/>
    <x v="4"/>
    <x v="3"/>
    <x v="4"/>
    <n v="4"/>
    <n v="190"/>
    <x v="14"/>
  </r>
  <r>
    <n v="111"/>
    <x v="110"/>
    <x v="4"/>
    <x v="2"/>
    <x v="0"/>
    <n v="7"/>
    <n v="300"/>
    <x v="25"/>
  </r>
  <r>
    <n v="112"/>
    <x v="111"/>
    <x v="0"/>
    <x v="3"/>
    <x v="2"/>
    <n v="7"/>
    <n v="210"/>
    <x v="2"/>
  </r>
  <r>
    <n v="113"/>
    <x v="112"/>
    <x v="0"/>
    <x v="2"/>
    <x v="2"/>
    <n v="4"/>
    <n v="210"/>
    <x v="28"/>
  </r>
  <r>
    <n v="114"/>
    <x v="113"/>
    <x v="4"/>
    <x v="2"/>
    <x v="3"/>
    <n v="7"/>
    <n v="1200"/>
    <x v="13"/>
  </r>
  <r>
    <n v="115"/>
    <x v="114"/>
    <x v="3"/>
    <x v="0"/>
    <x v="3"/>
    <n v="7"/>
    <n v="1200"/>
    <x v="13"/>
  </r>
  <r>
    <n v="116"/>
    <x v="115"/>
    <x v="0"/>
    <x v="1"/>
    <x v="3"/>
    <n v="5"/>
    <n v="1200"/>
    <x v="4"/>
  </r>
  <r>
    <n v="117"/>
    <x v="116"/>
    <x v="3"/>
    <x v="0"/>
    <x v="0"/>
    <n v="7"/>
    <n v="300"/>
    <x v="25"/>
  </r>
  <r>
    <n v="118"/>
    <x v="117"/>
    <x v="1"/>
    <x v="3"/>
    <x v="0"/>
    <n v="3"/>
    <n v="300"/>
    <x v="22"/>
  </r>
  <r>
    <n v="119"/>
    <x v="118"/>
    <x v="4"/>
    <x v="2"/>
    <x v="4"/>
    <n v="3"/>
    <n v="190"/>
    <x v="31"/>
  </r>
  <r>
    <n v="120"/>
    <x v="119"/>
    <x v="2"/>
    <x v="1"/>
    <x v="1"/>
    <n v="3"/>
    <n v="1500"/>
    <x v="21"/>
  </r>
  <r>
    <n v="121"/>
    <x v="120"/>
    <x v="4"/>
    <x v="3"/>
    <x v="4"/>
    <n v="7"/>
    <n v="190"/>
    <x v="26"/>
  </r>
  <r>
    <n v="122"/>
    <x v="121"/>
    <x v="3"/>
    <x v="0"/>
    <x v="1"/>
    <n v="6"/>
    <n v="1500"/>
    <x v="9"/>
  </r>
  <r>
    <n v="123"/>
    <x v="122"/>
    <x v="4"/>
    <x v="2"/>
    <x v="5"/>
    <n v="5"/>
    <n v="2100"/>
    <x v="20"/>
  </r>
  <r>
    <n v="124"/>
    <x v="123"/>
    <x v="0"/>
    <x v="3"/>
    <x v="5"/>
    <n v="3"/>
    <n v="2100"/>
    <x v="32"/>
  </r>
  <r>
    <n v="125"/>
    <x v="124"/>
    <x v="2"/>
    <x v="2"/>
    <x v="4"/>
    <n v="4"/>
    <n v="190"/>
    <x v="14"/>
  </r>
  <r>
    <n v="126"/>
    <x v="125"/>
    <x v="5"/>
    <x v="0"/>
    <x v="1"/>
    <n v="3"/>
    <n v="1500"/>
    <x v="21"/>
  </r>
  <r>
    <n v="127"/>
    <x v="126"/>
    <x v="2"/>
    <x v="0"/>
    <x v="0"/>
    <n v="5"/>
    <n v="300"/>
    <x v="0"/>
  </r>
  <r>
    <n v="128"/>
    <x v="127"/>
    <x v="2"/>
    <x v="0"/>
    <x v="5"/>
    <n v="4"/>
    <n v="2100"/>
    <x v="13"/>
  </r>
  <r>
    <n v="129"/>
    <x v="128"/>
    <x v="1"/>
    <x v="1"/>
    <x v="3"/>
    <n v="2"/>
    <n v="1200"/>
    <x v="3"/>
  </r>
  <r>
    <n v="130"/>
    <x v="129"/>
    <x v="0"/>
    <x v="3"/>
    <x v="1"/>
    <n v="5"/>
    <n v="1500"/>
    <x v="1"/>
  </r>
  <r>
    <n v="131"/>
    <x v="130"/>
    <x v="0"/>
    <x v="3"/>
    <x v="5"/>
    <n v="6"/>
    <n v="2100"/>
    <x v="24"/>
  </r>
  <r>
    <n v="132"/>
    <x v="131"/>
    <x v="4"/>
    <x v="2"/>
    <x v="2"/>
    <n v="5"/>
    <n v="210"/>
    <x v="7"/>
  </r>
  <r>
    <n v="133"/>
    <x v="132"/>
    <x v="0"/>
    <x v="2"/>
    <x v="5"/>
    <n v="4"/>
    <n v="2100"/>
    <x v="13"/>
  </r>
  <r>
    <n v="134"/>
    <x v="133"/>
    <x v="2"/>
    <x v="0"/>
    <x v="2"/>
    <n v="4"/>
    <n v="210"/>
    <x v="28"/>
  </r>
  <r>
    <n v="135"/>
    <x v="134"/>
    <x v="5"/>
    <x v="1"/>
    <x v="4"/>
    <n v="4"/>
    <n v="190"/>
    <x v="14"/>
  </r>
  <r>
    <n v="136"/>
    <x v="135"/>
    <x v="5"/>
    <x v="0"/>
    <x v="0"/>
    <n v="5"/>
    <n v="300"/>
    <x v="0"/>
  </r>
  <r>
    <n v="137"/>
    <x v="136"/>
    <x v="0"/>
    <x v="0"/>
    <x v="1"/>
    <n v="3"/>
    <n v="1500"/>
    <x v="21"/>
  </r>
  <r>
    <n v="138"/>
    <x v="137"/>
    <x v="5"/>
    <x v="0"/>
    <x v="3"/>
    <n v="2"/>
    <n v="1200"/>
    <x v="3"/>
  </r>
  <r>
    <n v="139"/>
    <x v="138"/>
    <x v="2"/>
    <x v="0"/>
    <x v="0"/>
    <n v="7"/>
    <n v="300"/>
    <x v="25"/>
  </r>
  <r>
    <n v="140"/>
    <x v="139"/>
    <x v="3"/>
    <x v="3"/>
    <x v="4"/>
    <n v="6"/>
    <n v="190"/>
    <x v="27"/>
  </r>
  <r>
    <n v="141"/>
    <x v="140"/>
    <x v="1"/>
    <x v="2"/>
    <x v="0"/>
    <n v="2"/>
    <n v="300"/>
    <x v="30"/>
  </r>
  <r>
    <n v="142"/>
    <x v="141"/>
    <x v="0"/>
    <x v="1"/>
    <x v="3"/>
    <n v="4"/>
    <n v="1200"/>
    <x v="6"/>
  </r>
  <r>
    <n v="143"/>
    <x v="142"/>
    <x v="4"/>
    <x v="1"/>
    <x v="1"/>
    <n v="7"/>
    <n v="1500"/>
    <x v="20"/>
  </r>
  <r>
    <n v="144"/>
    <x v="143"/>
    <x v="4"/>
    <x v="1"/>
    <x v="2"/>
    <n v="5"/>
    <n v="210"/>
    <x v="7"/>
  </r>
  <r>
    <n v="145"/>
    <x v="144"/>
    <x v="3"/>
    <x v="0"/>
    <x v="2"/>
    <n v="7"/>
    <n v="210"/>
    <x v="2"/>
  </r>
  <r>
    <n v="146"/>
    <x v="145"/>
    <x v="1"/>
    <x v="3"/>
    <x v="2"/>
    <n v="7"/>
    <n v="210"/>
    <x v="2"/>
  </r>
  <r>
    <n v="147"/>
    <x v="146"/>
    <x v="5"/>
    <x v="3"/>
    <x v="1"/>
    <n v="3"/>
    <n v="1500"/>
    <x v="21"/>
  </r>
  <r>
    <n v="148"/>
    <x v="147"/>
    <x v="0"/>
    <x v="0"/>
    <x v="0"/>
    <n v="7"/>
    <n v="300"/>
    <x v="25"/>
  </r>
  <r>
    <n v="149"/>
    <x v="148"/>
    <x v="5"/>
    <x v="1"/>
    <x v="1"/>
    <n v="2"/>
    <n v="1500"/>
    <x v="16"/>
  </r>
  <r>
    <n v="150"/>
    <x v="149"/>
    <x v="2"/>
    <x v="0"/>
    <x v="0"/>
    <n v="2"/>
    <n v="300"/>
    <x v="30"/>
  </r>
  <r>
    <n v="151"/>
    <x v="150"/>
    <x v="0"/>
    <x v="2"/>
    <x v="2"/>
    <n v="3"/>
    <n v="210"/>
    <x v="10"/>
  </r>
  <r>
    <n v="152"/>
    <x v="151"/>
    <x v="3"/>
    <x v="2"/>
    <x v="2"/>
    <n v="7"/>
    <n v="210"/>
    <x v="2"/>
  </r>
  <r>
    <n v="153"/>
    <x v="152"/>
    <x v="3"/>
    <x v="3"/>
    <x v="0"/>
    <n v="4"/>
    <n v="300"/>
    <x v="19"/>
  </r>
  <r>
    <n v="154"/>
    <x v="153"/>
    <x v="4"/>
    <x v="1"/>
    <x v="3"/>
    <n v="6"/>
    <n v="1200"/>
    <x v="17"/>
  </r>
  <r>
    <n v="155"/>
    <x v="154"/>
    <x v="0"/>
    <x v="1"/>
    <x v="0"/>
    <n v="6"/>
    <n v="300"/>
    <x v="18"/>
  </r>
  <r>
    <n v="156"/>
    <x v="155"/>
    <x v="2"/>
    <x v="0"/>
    <x v="3"/>
    <n v="6"/>
    <n v="1200"/>
    <x v="17"/>
  </r>
  <r>
    <n v="157"/>
    <x v="156"/>
    <x v="2"/>
    <x v="3"/>
    <x v="3"/>
    <n v="5"/>
    <n v="1200"/>
    <x v="4"/>
  </r>
  <r>
    <n v="158"/>
    <x v="157"/>
    <x v="2"/>
    <x v="0"/>
    <x v="0"/>
    <n v="7"/>
    <n v="300"/>
    <x v="25"/>
  </r>
  <r>
    <n v="159"/>
    <x v="158"/>
    <x v="2"/>
    <x v="3"/>
    <x v="3"/>
    <n v="6"/>
    <n v="1200"/>
    <x v="17"/>
  </r>
  <r>
    <n v="160"/>
    <x v="159"/>
    <x v="4"/>
    <x v="0"/>
    <x v="5"/>
    <n v="6"/>
    <n v="2100"/>
    <x v="24"/>
  </r>
  <r>
    <n v="161"/>
    <x v="160"/>
    <x v="1"/>
    <x v="2"/>
    <x v="5"/>
    <n v="6"/>
    <n v="2100"/>
    <x v="24"/>
  </r>
  <r>
    <n v="162"/>
    <x v="161"/>
    <x v="5"/>
    <x v="3"/>
    <x v="1"/>
    <n v="7"/>
    <n v="1500"/>
    <x v="20"/>
  </r>
  <r>
    <n v="163"/>
    <x v="162"/>
    <x v="5"/>
    <x v="2"/>
    <x v="3"/>
    <n v="3"/>
    <n v="1200"/>
    <x v="11"/>
  </r>
  <r>
    <n v="164"/>
    <x v="163"/>
    <x v="3"/>
    <x v="0"/>
    <x v="2"/>
    <n v="6"/>
    <n v="210"/>
    <x v="23"/>
  </r>
  <r>
    <n v="165"/>
    <x v="164"/>
    <x v="2"/>
    <x v="0"/>
    <x v="0"/>
    <n v="2"/>
    <n v="300"/>
    <x v="30"/>
  </r>
  <r>
    <n v="166"/>
    <x v="165"/>
    <x v="5"/>
    <x v="0"/>
    <x v="0"/>
    <n v="3"/>
    <n v="300"/>
    <x v="22"/>
  </r>
  <r>
    <n v="167"/>
    <x v="166"/>
    <x v="3"/>
    <x v="2"/>
    <x v="4"/>
    <n v="2"/>
    <n v="190"/>
    <x v="15"/>
  </r>
  <r>
    <n v="168"/>
    <x v="167"/>
    <x v="0"/>
    <x v="1"/>
    <x v="4"/>
    <n v="2"/>
    <n v="190"/>
    <x v="15"/>
  </r>
  <r>
    <n v="169"/>
    <x v="168"/>
    <x v="0"/>
    <x v="1"/>
    <x v="4"/>
    <n v="5"/>
    <n v="190"/>
    <x v="5"/>
  </r>
  <r>
    <n v="170"/>
    <x v="169"/>
    <x v="3"/>
    <x v="3"/>
    <x v="3"/>
    <n v="3"/>
    <n v="1200"/>
    <x v="11"/>
  </r>
  <r>
    <n v="171"/>
    <x v="170"/>
    <x v="2"/>
    <x v="0"/>
    <x v="4"/>
    <n v="7"/>
    <n v="190"/>
    <x v="26"/>
  </r>
  <r>
    <n v="172"/>
    <x v="171"/>
    <x v="0"/>
    <x v="1"/>
    <x v="3"/>
    <n v="7"/>
    <n v="1200"/>
    <x v="13"/>
  </r>
  <r>
    <n v="173"/>
    <x v="172"/>
    <x v="5"/>
    <x v="1"/>
    <x v="1"/>
    <n v="6"/>
    <n v="1500"/>
    <x v="9"/>
  </r>
  <r>
    <n v="174"/>
    <x v="173"/>
    <x v="0"/>
    <x v="0"/>
    <x v="2"/>
    <n v="6"/>
    <n v="210"/>
    <x v="23"/>
  </r>
  <r>
    <n v="175"/>
    <x v="174"/>
    <x v="0"/>
    <x v="0"/>
    <x v="2"/>
    <n v="5"/>
    <n v="210"/>
    <x v="7"/>
  </r>
  <r>
    <n v="176"/>
    <x v="175"/>
    <x v="0"/>
    <x v="3"/>
    <x v="5"/>
    <n v="2"/>
    <n v="2100"/>
    <x v="29"/>
  </r>
  <r>
    <n v="177"/>
    <x v="176"/>
    <x v="0"/>
    <x v="2"/>
    <x v="2"/>
    <n v="3"/>
    <n v="210"/>
    <x v="10"/>
  </r>
  <r>
    <n v="178"/>
    <x v="177"/>
    <x v="2"/>
    <x v="1"/>
    <x v="4"/>
    <n v="5"/>
    <n v="190"/>
    <x v="5"/>
  </r>
  <r>
    <n v="179"/>
    <x v="178"/>
    <x v="2"/>
    <x v="3"/>
    <x v="5"/>
    <n v="7"/>
    <n v="2100"/>
    <x v="12"/>
  </r>
  <r>
    <n v="180"/>
    <x v="179"/>
    <x v="1"/>
    <x v="3"/>
    <x v="4"/>
    <n v="6"/>
    <n v="190"/>
    <x v="27"/>
  </r>
  <r>
    <n v="181"/>
    <x v="180"/>
    <x v="1"/>
    <x v="1"/>
    <x v="1"/>
    <n v="6"/>
    <n v="1500"/>
    <x v="9"/>
  </r>
  <r>
    <n v="182"/>
    <x v="181"/>
    <x v="0"/>
    <x v="0"/>
    <x v="4"/>
    <n v="5"/>
    <n v="190"/>
    <x v="5"/>
  </r>
  <r>
    <n v="183"/>
    <x v="182"/>
    <x v="2"/>
    <x v="3"/>
    <x v="0"/>
    <n v="5"/>
    <n v="300"/>
    <x v="0"/>
  </r>
  <r>
    <n v="184"/>
    <x v="183"/>
    <x v="3"/>
    <x v="0"/>
    <x v="5"/>
    <n v="7"/>
    <n v="2100"/>
    <x v="12"/>
  </r>
  <r>
    <n v="185"/>
    <x v="184"/>
    <x v="5"/>
    <x v="1"/>
    <x v="0"/>
    <n v="2"/>
    <n v="300"/>
    <x v="30"/>
  </r>
  <r>
    <n v="186"/>
    <x v="185"/>
    <x v="4"/>
    <x v="0"/>
    <x v="5"/>
    <n v="6"/>
    <n v="2100"/>
    <x v="24"/>
  </r>
  <r>
    <n v="187"/>
    <x v="186"/>
    <x v="0"/>
    <x v="3"/>
    <x v="5"/>
    <n v="6"/>
    <n v="2100"/>
    <x v="24"/>
  </r>
  <r>
    <n v="188"/>
    <x v="187"/>
    <x v="2"/>
    <x v="1"/>
    <x v="1"/>
    <n v="3"/>
    <n v="1500"/>
    <x v="21"/>
  </r>
  <r>
    <n v="189"/>
    <x v="188"/>
    <x v="0"/>
    <x v="2"/>
    <x v="5"/>
    <n v="3"/>
    <n v="2100"/>
    <x v="32"/>
  </r>
  <r>
    <n v="190"/>
    <x v="189"/>
    <x v="5"/>
    <x v="1"/>
    <x v="3"/>
    <n v="6"/>
    <n v="1200"/>
    <x v="17"/>
  </r>
  <r>
    <n v="191"/>
    <x v="190"/>
    <x v="4"/>
    <x v="2"/>
    <x v="5"/>
    <n v="5"/>
    <n v="2100"/>
    <x v="20"/>
  </r>
  <r>
    <n v="192"/>
    <x v="191"/>
    <x v="1"/>
    <x v="3"/>
    <x v="5"/>
    <n v="7"/>
    <n v="2100"/>
    <x v="12"/>
  </r>
  <r>
    <n v="193"/>
    <x v="192"/>
    <x v="1"/>
    <x v="3"/>
    <x v="5"/>
    <n v="7"/>
    <n v="2100"/>
    <x v="12"/>
  </r>
  <r>
    <n v="194"/>
    <x v="193"/>
    <x v="2"/>
    <x v="3"/>
    <x v="5"/>
    <n v="2"/>
    <n v="2100"/>
    <x v="29"/>
  </r>
  <r>
    <n v="195"/>
    <x v="194"/>
    <x v="1"/>
    <x v="3"/>
    <x v="5"/>
    <n v="2"/>
    <n v="2100"/>
    <x v="29"/>
  </r>
  <r>
    <n v="196"/>
    <x v="195"/>
    <x v="2"/>
    <x v="2"/>
    <x v="3"/>
    <n v="3"/>
    <n v="1200"/>
    <x v="11"/>
  </r>
  <r>
    <n v="197"/>
    <x v="196"/>
    <x v="5"/>
    <x v="3"/>
    <x v="1"/>
    <n v="7"/>
    <n v="1500"/>
    <x v="20"/>
  </r>
  <r>
    <n v="198"/>
    <x v="197"/>
    <x v="3"/>
    <x v="2"/>
    <x v="4"/>
    <n v="3"/>
    <n v="190"/>
    <x v="31"/>
  </r>
  <r>
    <n v="199"/>
    <x v="198"/>
    <x v="4"/>
    <x v="3"/>
    <x v="0"/>
    <n v="3"/>
    <n v="300"/>
    <x v="22"/>
  </r>
  <r>
    <n v="200"/>
    <x v="199"/>
    <x v="3"/>
    <x v="1"/>
    <x v="1"/>
    <n v="6"/>
    <n v="1500"/>
    <x v="9"/>
  </r>
  <r>
    <n v="201"/>
    <x v="200"/>
    <x v="0"/>
    <x v="2"/>
    <x v="0"/>
    <n v="2"/>
    <n v="300"/>
    <x v="30"/>
  </r>
  <r>
    <n v="202"/>
    <x v="201"/>
    <x v="1"/>
    <x v="2"/>
    <x v="0"/>
    <n v="6"/>
    <n v="300"/>
    <x v="18"/>
  </r>
  <r>
    <n v="203"/>
    <x v="202"/>
    <x v="3"/>
    <x v="2"/>
    <x v="5"/>
    <n v="6"/>
    <n v="2100"/>
    <x v="24"/>
  </r>
  <r>
    <n v="204"/>
    <x v="203"/>
    <x v="2"/>
    <x v="0"/>
    <x v="3"/>
    <n v="7"/>
    <n v="1200"/>
    <x v="13"/>
  </r>
  <r>
    <n v="205"/>
    <x v="204"/>
    <x v="3"/>
    <x v="3"/>
    <x v="4"/>
    <n v="2"/>
    <n v="190"/>
    <x v="15"/>
  </r>
  <r>
    <n v="206"/>
    <x v="205"/>
    <x v="3"/>
    <x v="0"/>
    <x v="3"/>
    <n v="5"/>
    <n v="1200"/>
    <x v="4"/>
  </r>
  <r>
    <n v="207"/>
    <x v="206"/>
    <x v="5"/>
    <x v="0"/>
    <x v="5"/>
    <n v="5"/>
    <n v="2100"/>
    <x v="20"/>
  </r>
  <r>
    <n v="208"/>
    <x v="207"/>
    <x v="5"/>
    <x v="3"/>
    <x v="3"/>
    <n v="4"/>
    <n v="1200"/>
    <x v="6"/>
  </r>
  <r>
    <n v="209"/>
    <x v="208"/>
    <x v="2"/>
    <x v="1"/>
    <x v="5"/>
    <n v="7"/>
    <n v="2100"/>
    <x v="12"/>
  </r>
  <r>
    <n v="210"/>
    <x v="209"/>
    <x v="1"/>
    <x v="2"/>
    <x v="4"/>
    <n v="5"/>
    <n v="190"/>
    <x v="5"/>
  </r>
  <r>
    <n v="211"/>
    <x v="210"/>
    <x v="2"/>
    <x v="3"/>
    <x v="0"/>
    <n v="6"/>
    <n v="300"/>
    <x v="18"/>
  </r>
  <r>
    <n v="212"/>
    <x v="211"/>
    <x v="1"/>
    <x v="1"/>
    <x v="5"/>
    <n v="3"/>
    <n v="2100"/>
    <x v="32"/>
  </r>
  <r>
    <n v="213"/>
    <x v="212"/>
    <x v="3"/>
    <x v="0"/>
    <x v="3"/>
    <n v="7"/>
    <n v="1200"/>
    <x v="13"/>
  </r>
  <r>
    <n v="214"/>
    <x v="213"/>
    <x v="2"/>
    <x v="3"/>
    <x v="5"/>
    <n v="4"/>
    <n v="2100"/>
    <x v="13"/>
  </r>
  <r>
    <n v="215"/>
    <x v="214"/>
    <x v="4"/>
    <x v="0"/>
    <x v="3"/>
    <n v="2"/>
    <n v="1200"/>
    <x v="3"/>
  </r>
  <r>
    <n v="216"/>
    <x v="215"/>
    <x v="5"/>
    <x v="2"/>
    <x v="4"/>
    <n v="3"/>
    <n v="190"/>
    <x v="31"/>
  </r>
  <r>
    <n v="217"/>
    <x v="216"/>
    <x v="2"/>
    <x v="1"/>
    <x v="3"/>
    <n v="7"/>
    <n v="1200"/>
    <x v="13"/>
  </r>
  <r>
    <n v="218"/>
    <x v="217"/>
    <x v="2"/>
    <x v="0"/>
    <x v="5"/>
    <n v="5"/>
    <n v="2100"/>
    <x v="20"/>
  </r>
  <r>
    <n v="219"/>
    <x v="218"/>
    <x v="1"/>
    <x v="3"/>
    <x v="5"/>
    <n v="3"/>
    <n v="2100"/>
    <x v="32"/>
  </r>
  <r>
    <n v="220"/>
    <x v="219"/>
    <x v="4"/>
    <x v="1"/>
    <x v="3"/>
    <n v="2"/>
    <n v="1200"/>
    <x v="3"/>
  </r>
  <r>
    <n v="221"/>
    <x v="220"/>
    <x v="5"/>
    <x v="3"/>
    <x v="0"/>
    <n v="6"/>
    <n v="300"/>
    <x v="18"/>
  </r>
  <r>
    <n v="222"/>
    <x v="221"/>
    <x v="3"/>
    <x v="0"/>
    <x v="5"/>
    <n v="6"/>
    <n v="2100"/>
    <x v="24"/>
  </r>
  <r>
    <n v="223"/>
    <x v="222"/>
    <x v="0"/>
    <x v="3"/>
    <x v="4"/>
    <n v="6"/>
    <n v="190"/>
    <x v="27"/>
  </r>
  <r>
    <n v="224"/>
    <x v="223"/>
    <x v="5"/>
    <x v="1"/>
    <x v="4"/>
    <n v="2"/>
    <n v="190"/>
    <x v="15"/>
  </r>
  <r>
    <n v="225"/>
    <x v="224"/>
    <x v="2"/>
    <x v="1"/>
    <x v="5"/>
    <n v="5"/>
    <n v="2100"/>
    <x v="20"/>
  </r>
  <r>
    <n v="226"/>
    <x v="225"/>
    <x v="2"/>
    <x v="3"/>
    <x v="4"/>
    <n v="3"/>
    <n v="190"/>
    <x v="31"/>
  </r>
  <r>
    <n v="227"/>
    <x v="226"/>
    <x v="1"/>
    <x v="2"/>
    <x v="0"/>
    <n v="2"/>
    <n v="300"/>
    <x v="30"/>
  </r>
  <r>
    <n v="228"/>
    <x v="227"/>
    <x v="3"/>
    <x v="0"/>
    <x v="4"/>
    <n v="3"/>
    <n v="190"/>
    <x v="31"/>
  </r>
  <r>
    <n v="229"/>
    <x v="228"/>
    <x v="5"/>
    <x v="3"/>
    <x v="0"/>
    <n v="2"/>
    <n v="300"/>
    <x v="30"/>
  </r>
  <r>
    <n v="230"/>
    <x v="229"/>
    <x v="2"/>
    <x v="2"/>
    <x v="3"/>
    <n v="2"/>
    <n v="1200"/>
    <x v="3"/>
  </r>
  <r>
    <n v="231"/>
    <x v="230"/>
    <x v="2"/>
    <x v="3"/>
    <x v="0"/>
    <n v="6"/>
    <n v="300"/>
    <x v="18"/>
  </r>
  <r>
    <n v="232"/>
    <x v="231"/>
    <x v="5"/>
    <x v="3"/>
    <x v="5"/>
    <n v="5"/>
    <n v="2100"/>
    <x v="20"/>
  </r>
  <r>
    <n v="233"/>
    <x v="232"/>
    <x v="1"/>
    <x v="3"/>
    <x v="5"/>
    <n v="7"/>
    <n v="2100"/>
    <x v="12"/>
  </r>
  <r>
    <n v="234"/>
    <x v="233"/>
    <x v="3"/>
    <x v="3"/>
    <x v="3"/>
    <n v="7"/>
    <n v="1200"/>
    <x v="13"/>
  </r>
  <r>
    <n v="235"/>
    <x v="234"/>
    <x v="2"/>
    <x v="0"/>
    <x v="2"/>
    <n v="2"/>
    <n v="210"/>
    <x v="8"/>
  </r>
  <r>
    <n v="236"/>
    <x v="235"/>
    <x v="4"/>
    <x v="1"/>
    <x v="1"/>
    <n v="7"/>
    <n v="1500"/>
    <x v="20"/>
  </r>
  <r>
    <n v="237"/>
    <x v="236"/>
    <x v="4"/>
    <x v="3"/>
    <x v="4"/>
    <n v="7"/>
    <n v="190"/>
    <x v="26"/>
  </r>
  <r>
    <n v="238"/>
    <x v="237"/>
    <x v="1"/>
    <x v="3"/>
    <x v="5"/>
    <n v="7"/>
    <n v="2100"/>
    <x v="12"/>
  </r>
  <r>
    <n v="239"/>
    <x v="238"/>
    <x v="2"/>
    <x v="1"/>
    <x v="1"/>
    <n v="6"/>
    <n v="1500"/>
    <x v="9"/>
  </r>
  <r>
    <n v="240"/>
    <x v="239"/>
    <x v="5"/>
    <x v="3"/>
    <x v="1"/>
    <n v="4"/>
    <n v="1500"/>
    <x v="4"/>
  </r>
  <r>
    <n v="241"/>
    <x v="240"/>
    <x v="4"/>
    <x v="2"/>
    <x v="2"/>
    <n v="4"/>
    <n v="210"/>
    <x v="28"/>
  </r>
  <r>
    <n v="242"/>
    <x v="241"/>
    <x v="2"/>
    <x v="3"/>
    <x v="0"/>
    <n v="3"/>
    <n v="300"/>
    <x v="22"/>
  </r>
  <r>
    <n v="243"/>
    <x v="242"/>
    <x v="2"/>
    <x v="0"/>
    <x v="2"/>
    <n v="3"/>
    <n v="210"/>
    <x v="10"/>
  </r>
  <r>
    <n v="244"/>
    <x v="243"/>
    <x v="2"/>
    <x v="3"/>
    <x v="0"/>
    <n v="6"/>
    <n v="300"/>
    <x v="18"/>
  </r>
  <r>
    <n v="245"/>
    <x v="244"/>
    <x v="4"/>
    <x v="2"/>
    <x v="0"/>
    <n v="3"/>
    <n v="300"/>
    <x v="22"/>
  </r>
  <r>
    <n v="246"/>
    <x v="245"/>
    <x v="3"/>
    <x v="0"/>
    <x v="0"/>
    <n v="3"/>
    <n v="300"/>
    <x v="22"/>
  </r>
  <r>
    <n v="247"/>
    <x v="246"/>
    <x v="5"/>
    <x v="0"/>
    <x v="2"/>
    <n v="4"/>
    <n v="210"/>
    <x v="28"/>
  </r>
  <r>
    <n v="248"/>
    <x v="247"/>
    <x v="2"/>
    <x v="2"/>
    <x v="2"/>
    <n v="2"/>
    <n v="210"/>
    <x v="8"/>
  </r>
  <r>
    <n v="249"/>
    <x v="248"/>
    <x v="3"/>
    <x v="1"/>
    <x v="2"/>
    <n v="3"/>
    <n v="210"/>
    <x v="10"/>
  </r>
  <r>
    <n v="250"/>
    <x v="249"/>
    <x v="3"/>
    <x v="1"/>
    <x v="4"/>
    <n v="5"/>
    <n v="190"/>
    <x v="5"/>
  </r>
  <r>
    <n v="251"/>
    <x v="250"/>
    <x v="4"/>
    <x v="1"/>
    <x v="2"/>
    <n v="7"/>
    <n v="210"/>
    <x v="2"/>
  </r>
  <r>
    <n v="252"/>
    <x v="251"/>
    <x v="3"/>
    <x v="3"/>
    <x v="1"/>
    <n v="5"/>
    <n v="1500"/>
    <x v="1"/>
  </r>
  <r>
    <n v="253"/>
    <x v="252"/>
    <x v="3"/>
    <x v="3"/>
    <x v="1"/>
    <n v="3"/>
    <n v="1500"/>
    <x v="21"/>
  </r>
  <r>
    <n v="254"/>
    <x v="253"/>
    <x v="5"/>
    <x v="0"/>
    <x v="1"/>
    <n v="3"/>
    <n v="1500"/>
    <x v="21"/>
  </r>
  <r>
    <n v="255"/>
    <x v="254"/>
    <x v="1"/>
    <x v="2"/>
    <x v="3"/>
    <n v="4"/>
    <n v="1200"/>
    <x v="6"/>
  </r>
  <r>
    <n v="256"/>
    <x v="255"/>
    <x v="5"/>
    <x v="2"/>
    <x v="0"/>
    <n v="2"/>
    <n v="300"/>
    <x v="30"/>
  </r>
  <r>
    <n v="257"/>
    <x v="256"/>
    <x v="1"/>
    <x v="2"/>
    <x v="3"/>
    <n v="3"/>
    <n v="1200"/>
    <x v="11"/>
  </r>
  <r>
    <n v="258"/>
    <x v="257"/>
    <x v="4"/>
    <x v="1"/>
    <x v="3"/>
    <n v="5"/>
    <n v="1200"/>
    <x v="4"/>
  </r>
  <r>
    <n v="259"/>
    <x v="258"/>
    <x v="1"/>
    <x v="0"/>
    <x v="5"/>
    <n v="7"/>
    <n v="2100"/>
    <x v="12"/>
  </r>
  <r>
    <n v="260"/>
    <x v="259"/>
    <x v="2"/>
    <x v="2"/>
    <x v="4"/>
    <n v="6"/>
    <n v="190"/>
    <x v="27"/>
  </r>
  <r>
    <n v="261"/>
    <x v="260"/>
    <x v="5"/>
    <x v="3"/>
    <x v="2"/>
    <n v="3"/>
    <n v="210"/>
    <x v="10"/>
  </r>
  <r>
    <n v="262"/>
    <x v="261"/>
    <x v="4"/>
    <x v="0"/>
    <x v="5"/>
    <n v="5"/>
    <n v="2100"/>
    <x v="20"/>
  </r>
  <r>
    <n v="263"/>
    <x v="262"/>
    <x v="1"/>
    <x v="1"/>
    <x v="5"/>
    <n v="6"/>
    <n v="2100"/>
    <x v="24"/>
  </r>
  <r>
    <n v="264"/>
    <x v="263"/>
    <x v="2"/>
    <x v="0"/>
    <x v="3"/>
    <n v="6"/>
    <n v="1200"/>
    <x v="17"/>
  </r>
  <r>
    <n v="265"/>
    <x v="264"/>
    <x v="5"/>
    <x v="0"/>
    <x v="3"/>
    <n v="5"/>
    <n v="1200"/>
    <x v="4"/>
  </r>
  <r>
    <n v="266"/>
    <x v="265"/>
    <x v="5"/>
    <x v="0"/>
    <x v="2"/>
    <n v="3"/>
    <n v="210"/>
    <x v="10"/>
  </r>
  <r>
    <n v="267"/>
    <x v="266"/>
    <x v="4"/>
    <x v="0"/>
    <x v="5"/>
    <n v="2"/>
    <n v="2100"/>
    <x v="29"/>
  </r>
  <r>
    <n v="268"/>
    <x v="267"/>
    <x v="4"/>
    <x v="0"/>
    <x v="4"/>
    <n v="5"/>
    <n v="190"/>
    <x v="5"/>
  </r>
  <r>
    <n v="269"/>
    <x v="268"/>
    <x v="3"/>
    <x v="0"/>
    <x v="2"/>
    <n v="7"/>
    <n v="210"/>
    <x v="2"/>
  </r>
  <r>
    <n v="270"/>
    <x v="269"/>
    <x v="1"/>
    <x v="2"/>
    <x v="5"/>
    <n v="2"/>
    <n v="2100"/>
    <x v="29"/>
  </r>
  <r>
    <n v="271"/>
    <x v="270"/>
    <x v="1"/>
    <x v="1"/>
    <x v="4"/>
    <n v="7"/>
    <n v="190"/>
    <x v="26"/>
  </r>
  <r>
    <n v="272"/>
    <x v="271"/>
    <x v="0"/>
    <x v="0"/>
    <x v="3"/>
    <n v="5"/>
    <n v="1200"/>
    <x v="4"/>
  </r>
  <r>
    <n v="273"/>
    <x v="272"/>
    <x v="4"/>
    <x v="2"/>
    <x v="1"/>
    <n v="7"/>
    <n v="1500"/>
    <x v="20"/>
  </r>
  <r>
    <n v="274"/>
    <x v="273"/>
    <x v="2"/>
    <x v="0"/>
    <x v="4"/>
    <n v="3"/>
    <n v="190"/>
    <x v="31"/>
  </r>
  <r>
    <n v="275"/>
    <x v="274"/>
    <x v="2"/>
    <x v="2"/>
    <x v="3"/>
    <n v="7"/>
    <n v="1200"/>
    <x v="13"/>
  </r>
  <r>
    <n v="276"/>
    <x v="275"/>
    <x v="1"/>
    <x v="2"/>
    <x v="5"/>
    <n v="7"/>
    <n v="2100"/>
    <x v="12"/>
  </r>
  <r>
    <n v="277"/>
    <x v="276"/>
    <x v="3"/>
    <x v="1"/>
    <x v="4"/>
    <n v="6"/>
    <n v="190"/>
    <x v="27"/>
  </r>
  <r>
    <n v="278"/>
    <x v="277"/>
    <x v="3"/>
    <x v="1"/>
    <x v="3"/>
    <n v="6"/>
    <n v="1200"/>
    <x v="17"/>
  </r>
  <r>
    <n v="279"/>
    <x v="278"/>
    <x v="2"/>
    <x v="0"/>
    <x v="0"/>
    <n v="5"/>
    <n v="300"/>
    <x v="0"/>
  </r>
  <r>
    <n v="280"/>
    <x v="279"/>
    <x v="3"/>
    <x v="2"/>
    <x v="5"/>
    <n v="6"/>
    <n v="2100"/>
    <x v="24"/>
  </r>
  <r>
    <n v="281"/>
    <x v="280"/>
    <x v="5"/>
    <x v="1"/>
    <x v="3"/>
    <n v="5"/>
    <n v="1200"/>
    <x v="4"/>
  </r>
  <r>
    <n v="282"/>
    <x v="281"/>
    <x v="2"/>
    <x v="2"/>
    <x v="3"/>
    <n v="4"/>
    <n v="1200"/>
    <x v="6"/>
  </r>
  <r>
    <n v="283"/>
    <x v="282"/>
    <x v="2"/>
    <x v="3"/>
    <x v="4"/>
    <n v="3"/>
    <n v="190"/>
    <x v="31"/>
  </r>
  <r>
    <n v="284"/>
    <x v="283"/>
    <x v="4"/>
    <x v="3"/>
    <x v="5"/>
    <n v="3"/>
    <n v="2100"/>
    <x v="32"/>
  </r>
  <r>
    <n v="285"/>
    <x v="284"/>
    <x v="1"/>
    <x v="1"/>
    <x v="3"/>
    <n v="4"/>
    <n v="1200"/>
    <x v="6"/>
  </r>
  <r>
    <n v="286"/>
    <x v="285"/>
    <x v="5"/>
    <x v="3"/>
    <x v="5"/>
    <n v="4"/>
    <n v="2100"/>
    <x v="13"/>
  </r>
  <r>
    <n v="287"/>
    <x v="286"/>
    <x v="3"/>
    <x v="1"/>
    <x v="2"/>
    <n v="6"/>
    <n v="210"/>
    <x v="23"/>
  </r>
  <r>
    <n v="288"/>
    <x v="287"/>
    <x v="4"/>
    <x v="0"/>
    <x v="3"/>
    <n v="5"/>
    <n v="1200"/>
    <x v="4"/>
  </r>
  <r>
    <n v="289"/>
    <x v="288"/>
    <x v="5"/>
    <x v="0"/>
    <x v="3"/>
    <n v="6"/>
    <n v="1200"/>
    <x v="17"/>
  </r>
  <r>
    <n v="290"/>
    <x v="289"/>
    <x v="4"/>
    <x v="0"/>
    <x v="5"/>
    <n v="6"/>
    <n v="2100"/>
    <x v="24"/>
  </r>
  <r>
    <n v="291"/>
    <x v="290"/>
    <x v="1"/>
    <x v="2"/>
    <x v="5"/>
    <n v="5"/>
    <n v="2100"/>
    <x v="20"/>
  </r>
  <r>
    <n v="292"/>
    <x v="291"/>
    <x v="0"/>
    <x v="0"/>
    <x v="2"/>
    <n v="6"/>
    <n v="210"/>
    <x v="23"/>
  </r>
  <r>
    <n v="293"/>
    <x v="292"/>
    <x v="1"/>
    <x v="0"/>
    <x v="3"/>
    <n v="4"/>
    <n v="1200"/>
    <x v="6"/>
  </r>
  <r>
    <n v="294"/>
    <x v="293"/>
    <x v="5"/>
    <x v="2"/>
    <x v="3"/>
    <n v="3"/>
    <n v="1200"/>
    <x v="11"/>
  </r>
  <r>
    <n v="295"/>
    <x v="294"/>
    <x v="5"/>
    <x v="3"/>
    <x v="0"/>
    <n v="2"/>
    <n v="300"/>
    <x v="30"/>
  </r>
  <r>
    <n v="296"/>
    <x v="295"/>
    <x v="3"/>
    <x v="3"/>
    <x v="1"/>
    <n v="5"/>
    <n v="1500"/>
    <x v="1"/>
  </r>
  <r>
    <n v="297"/>
    <x v="296"/>
    <x v="5"/>
    <x v="1"/>
    <x v="4"/>
    <n v="3"/>
    <n v="190"/>
    <x v="31"/>
  </r>
  <r>
    <n v="298"/>
    <x v="297"/>
    <x v="2"/>
    <x v="0"/>
    <x v="2"/>
    <n v="6"/>
    <n v="210"/>
    <x v="23"/>
  </r>
  <r>
    <n v="299"/>
    <x v="298"/>
    <x v="1"/>
    <x v="0"/>
    <x v="0"/>
    <n v="2"/>
    <n v="300"/>
    <x v="30"/>
  </r>
  <r>
    <n v="300"/>
    <x v="299"/>
    <x v="3"/>
    <x v="0"/>
    <x v="1"/>
    <n v="6"/>
    <n v="150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7C6D41-8642-4C46-A744-6C0D84E8BBD7}"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3">
  <location ref="R11:S15"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x="1"/>
        <item x="3"/>
        <item x="0"/>
        <item t="default"/>
      </items>
    </pivotField>
    <pivotField axis="axisRow" showAll="0" measureFilter="1" sortType="descending">
      <items count="7">
        <item x="4"/>
        <item x="3"/>
        <item x="2"/>
        <item x="5"/>
        <item x="1"/>
        <item x="0"/>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5"/>
    </i>
    <i>
      <x/>
    </i>
    <i>
      <x v="2"/>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89"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97FE21-D255-4642-AB50-C7EACA2B4F74}"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N14:N15" firstHeaderRow="1" firstDataRow="1" firstDataCol="0"/>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x="1"/>
        <item x="3"/>
        <item x="0"/>
        <item t="default"/>
      </items>
    </pivotField>
    <pivotField showAll="0">
      <items count="7">
        <item h="1" x="4"/>
        <item x="3"/>
        <item h="1" x="2"/>
        <item h="1" x="5"/>
        <item h="1" x="1"/>
        <item h="1" x="0"/>
        <item t="default"/>
      </items>
    </pivotField>
    <pivotField dataField="1" numFmtId="2"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5E0927-C920-4B85-A823-CDADF15DB879}"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7">
  <location ref="J2:K4"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x="1"/>
        <item x="3"/>
        <item x="0"/>
        <item t="default"/>
      </items>
    </pivotField>
    <pivotField axis="axisRow" showAll="0">
      <items count="7">
        <item h="1" x="4"/>
        <item x="3"/>
        <item h="1" x="2"/>
        <item h="1" x="5"/>
        <item h="1" x="1"/>
        <item h="1" x="0"/>
        <item t="default"/>
      </items>
    </pivotField>
    <pivotField numFmtId="2" showAll="0"/>
    <pivotField numFmtId="2" showAll="0"/>
    <pivotField dataField="1" numFmtId="2"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
    <i>
      <x v="1"/>
    </i>
    <i t="grand">
      <x/>
    </i>
  </rowItems>
  <colItems count="1">
    <i/>
  </colItems>
  <dataFields count="1">
    <dataField name="Sum of Amount" fld="7" showDataAs="percentOfTotal" baseField="4" baseItem="0" numFmtId="1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12E82C-4442-4689-9CC7-DA3844F228CA}"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R25:S27"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x="1"/>
        <item x="3"/>
        <item x="0"/>
        <item t="default"/>
      </items>
    </pivotField>
    <pivotField axis="axisRow" showAll="0">
      <items count="7">
        <item h="1" x="4"/>
        <item x="3"/>
        <item h="1" x="2"/>
        <item h="1" x="5"/>
        <item h="1" x="1"/>
        <item h="1" x="0"/>
        <item t="default"/>
      </items>
    </pivotField>
    <pivotField dataField="1" numFmtId="2"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
    <i>
      <x v="1"/>
    </i>
    <i t="grand">
      <x/>
    </i>
  </rowItems>
  <colItems count="1">
    <i/>
  </colItems>
  <dataFields count="1">
    <dataField name="Sum of Qty" fld="5" baseField="0" baseItem="0"/>
  </dataFields>
  <chartFormats count="3">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C90CFE-6C33-4D2B-93C4-A7C572551F39}"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8">
  <location ref="R67:S74"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0"/>
        <item x="3"/>
        <item x="2"/>
        <item x="1"/>
        <item x="5"/>
        <item x="4"/>
        <item t="default"/>
      </items>
    </pivotField>
    <pivotField showAll="0">
      <items count="5">
        <item x="2"/>
        <item x="1"/>
        <item x="3"/>
        <item x="0"/>
        <item t="default"/>
      </items>
    </pivotField>
    <pivotField showAll="0">
      <items count="7">
        <item h="1" x="4"/>
        <item x="3"/>
        <item h="1" x="2"/>
        <item h="1" x="5"/>
        <item h="1" x="1"/>
        <item h="1" x="0"/>
        <item t="default"/>
      </items>
    </pivotField>
    <pivotField numFmtId="2" showAll="0"/>
    <pivotField numFmtId="2" showAll="0"/>
    <pivotField dataField="1" numFmtId="2"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4">
    <chartFormat chart="32"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38C489-8F9C-4B95-8404-38AABBDCD644}"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3">
  <location ref="F2:G7"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2"/>
        <item x="1"/>
        <item x="3"/>
        <item x="0"/>
        <item t="default"/>
      </items>
    </pivotField>
    <pivotField showAll="0">
      <items count="7">
        <item h="1" x="4"/>
        <item x="3"/>
        <item h="1" x="2"/>
        <item h="1" x="5"/>
        <item h="1" x="1"/>
        <item h="1" x="0"/>
        <item t="default"/>
      </items>
    </pivotField>
    <pivotField numFmtId="2" showAll="0"/>
    <pivotField numFmtId="2" showAll="0"/>
    <pivotField dataField="1" numFmtId="2"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C20120-C994-4EDD-90B3-50C60F8369B5}"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4">
  <location ref="R52:S56"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7">
        <item x="0"/>
        <item x="3"/>
        <item x="2"/>
        <item x="1"/>
        <item x="5"/>
        <item x="4"/>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7">
        <item x="4"/>
        <item x="3"/>
        <item x="2"/>
        <item x="5"/>
        <item x="1"/>
        <item x="0"/>
        <item t="default"/>
      </items>
    </pivotField>
    <pivotField dataField="1" numFmtId="2"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5"/>
    </i>
    <i>
      <x v="3"/>
    </i>
    <i>
      <x v="4"/>
    </i>
    <i t="grand">
      <x/>
    </i>
  </rowItems>
  <colItems count="1">
    <i/>
  </colItems>
  <dataFields count="1">
    <dataField name="Sum of Qty" fld="5" baseField="0" baseItem="0"/>
  </dataFields>
  <chartFormats count="6">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5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9A6945-3C76-4D44-B399-879A8BABA3E6}"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2:B13"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x="1"/>
        <item x="3"/>
        <item x="0"/>
        <item t="default"/>
      </items>
    </pivotField>
    <pivotField showAll="0">
      <items count="7">
        <item h="1" x="4"/>
        <item x="3"/>
        <item h="1" x="2"/>
        <item h="1" x="5"/>
        <item h="1" x="1"/>
        <item h="1" x="0"/>
        <item t="default"/>
      </items>
    </pivotField>
    <pivotField numFmtId="2" showAll="0"/>
    <pivotField numFmtId="2"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1">
    <i>
      <x v="1"/>
    </i>
    <i>
      <x v="2"/>
    </i>
    <i>
      <x v="3"/>
    </i>
    <i>
      <x v="4"/>
    </i>
    <i>
      <x v="5"/>
    </i>
    <i>
      <x v="6"/>
    </i>
    <i>
      <x v="7"/>
    </i>
    <i>
      <x v="8"/>
    </i>
    <i>
      <x v="9"/>
    </i>
    <i>
      <x v="10"/>
    </i>
    <i t="grand">
      <x/>
    </i>
  </rowItems>
  <colItems count="1">
    <i/>
  </colItems>
  <dataFields count="1">
    <dataField name="Sum of Amount"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CDB5F5-467D-4E08-9743-4C31748A0A93}"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1">
  <location ref="R3:S7"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x="1"/>
        <item x="3"/>
        <item x="0"/>
        <item t="default"/>
      </items>
    </pivotField>
    <pivotField axis="axisRow" showAll="0" measureFilter="1" sortType="ascending">
      <items count="7">
        <item x="4"/>
        <item x="3"/>
        <item x="2"/>
        <item x="5"/>
        <item x="1"/>
        <item x="0"/>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1"/>
    </i>
    <i>
      <x v="3"/>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118D7F-1F81-418C-A88B-D5BF474C91DA}"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N8:N9" firstHeaderRow="1" firstDataRow="1" firstDataCol="0"/>
  <pivotFields count="9">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x="1"/>
        <item x="3"/>
        <item x="0"/>
        <item t="default"/>
      </items>
    </pivotField>
    <pivotField showAll="0">
      <items count="7">
        <item h="1" x="4"/>
        <item x="3"/>
        <item h="1" x="2"/>
        <item h="1" x="5"/>
        <item h="1" x="1"/>
        <item h="1" x="0"/>
        <item t="default"/>
      </items>
    </pivotField>
    <pivotField numFmtId="2"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S No"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01F267-4D4A-499C-9164-96F701B48288}"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3">
  <location ref="R41:S45"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ascending">
      <items count="7">
        <item x="0"/>
        <item x="3"/>
        <item x="2"/>
        <item x="1"/>
        <item x="5"/>
        <item x="4"/>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7">
        <item x="4"/>
        <item x="3"/>
        <item x="2"/>
        <item x="5"/>
        <item x="1"/>
        <item x="0"/>
        <item t="default"/>
      </items>
    </pivotField>
    <pivotField dataField="1" numFmtId="2"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2"/>
    </i>
    <i t="grand">
      <x/>
    </i>
  </rowItems>
  <colItems count="1">
    <i/>
  </colItems>
  <dataFields count="1">
    <dataField name="Sum of Qty" fld="5" baseField="0" baseItem="0"/>
  </dataFields>
  <chartFormats count="5">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50"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57DF53-597A-4DE3-A1A0-35EBA3B7F3C1}"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N3:N4" firstHeaderRow="1" firstDataRow="1" firstDataCol="0"/>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x="1"/>
        <item x="3"/>
        <item x="0"/>
        <item t="default"/>
      </items>
    </pivotField>
    <pivotField showAll="0">
      <items count="7">
        <item h="1" x="4"/>
        <item x="3"/>
        <item h="1" x="2"/>
        <item h="1" x="5"/>
        <item h="1" x="1"/>
        <item h="1" x="0"/>
        <item t="default"/>
      </items>
    </pivotField>
    <pivotField numFmtId="2" showAll="0"/>
    <pivotField numFmtId="2" showAll="0"/>
    <pivotField dataField="1" numFmtId="2"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Amount" fld="7" baseField="4"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C795D0-E36A-4A29-B78F-C06C701DA14A}" sourceName="Region">
  <pivotTables>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s>
  <data>
    <tabular pivotCacheId="1274154834">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786DF77-2E0F-4B30-9444-0B840EC72669}" sourceName="Item">
  <pivotTables>
    <pivotTable tabId="3" name="PivotTable1"/>
    <pivotTable tabId="3" name="PivotTable3"/>
    <pivotTable tabId="3" name="PivotTable4"/>
    <pivotTable tabId="3" name="PivotTable5"/>
    <pivotTable tabId="3" name="PivotTable6"/>
    <pivotTable tabId="3" name="PivotTable10"/>
    <pivotTable tabId="3" name="PivotTable13"/>
    <pivotTable tabId="3" name="PivotTable9"/>
  </pivotTables>
  <data>
    <tabular pivotCacheId="1274154834">
      <items count="6">
        <i x="4"/>
        <i x="3" s="1"/>
        <i x="2"/>
        <i x="5"/>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63AABE7F-6758-4B08-8D86-51E6AF9ECBE4}" cache="Slicer_Region" caption="Region" columnCount="2" rowHeight="180000"/>
  <slicer name="Item 4" xr10:uid="{C98A1DC9-DB6B-4C7E-A437-A17782A2166B}" cache="Slicer_Item" caption="Item" columnCount="6"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B7FD3D0-BBAE-4A7E-8489-FEB4FEFA75FA}" cache="Slicer_Region" caption="Region" columnCount="2" rowHeight="180000"/>
  <slicer name="Item 3" xr10:uid="{34199655-56B3-475E-AE30-D64BC596E414}" cache="Slicer_Item" caption="Item" columnCount="6"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E1CCF58B-1A7F-4859-A0DA-AD0B1CFB3D17}" cache="Slicer_Region" caption="Region" columnCount="2" rowHeight="180000"/>
  <slicer name="Item 2" xr10:uid="{A30FA93B-68C8-4923-A3A2-ED5957ED504C}" cache="Slicer_Item" caption="Item" columnCount="6" rowHeight="18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5240572-1B1C-4B44-B98E-ED95FB28827C}" cache="Slicer_Region" caption="Region" columnCount="2" rowHeight="180000"/>
  <slicer name="Item 1" xr10:uid="{3D3D791A-CA2E-43C9-9161-D02E8ACEEC4C}" cache="Slicer_Item" caption="Item" columnCount="6"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EF8DB3C-349A-4C2F-B3D8-5E27CAA31DC7}" sourceName="Date">
  <pivotTables>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s>
  <state minimalRefreshVersion="6" lastRefreshVersion="6" pivotCacheId="1274154834"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52575CB3-DBCC-40D8-AA30-872A1914FE55}" cache="NativeTimeline_Date" caption="Date" showSelectionLabel="0" showTimeLevel="0" showHorizontalScrollbar="0" level="2" selectionLevel="2" scrollPosition="2021-01-05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B5A81F05-CB00-4C5B-BD7A-F676C1B2085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A26D8F08-B9B2-479F-A957-F7958B1EB052}" cache="NativeTimeline_Date" caption="Date" showSelectionLabel="0" showTimeLevel="0" showHorizontalScrollbar="0" level="2" selectionLevel="2" scrollPosition="2021-01-05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B06E7CD-9E16-413A-8D4B-ED519FE3802D}" cache="NativeTimeline_Date" caption="Date" showSelectionLabel="0" showTimeLevel="0" showHorizontalScrollbar="0" level="2" selectionLevel="2" scrollPosition="2021-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240E0-8D33-4A9F-8189-BDD02BAB05EE}">
  <dimension ref="A1"/>
  <sheetViews>
    <sheetView showGridLines="0" showRowColHeaders="0" tabSelected="1" zoomScaleNormal="100" workbookViewId="0"/>
  </sheetViews>
  <sheetFormatPr defaultRowHeight="14.5" x14ac:dyDescent="0.35"/>
  <sheetData/>
  <pageMargins left="0.25" right="0.25"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A9FC4-000B-4400-8BC7-A16FC306C780}">
  <dimension ref="A1"/>
  <sheetViews>
    <sheetView showGridLines="0" showRowColHeaders="0" zoomScaleNormal="100" workbookViewId="0">
      <selection activeCell="S10" sqref="S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801D7-C239-4274-95C2-E8D4D26FA25A}">
  <dimension ref="A1"/>
  <sheetViews>
    <sheetView showGridLines="0" showRowColHeaders="0" zoomScaleNormal="10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9BE20-B4AB-4A97-8C56-DEB3D3686325}">
  <dimension ref="A1"/>
  <sheetViews>
    <sheetView showGridLines="0" showRowColHeaders="0" zoomScaleNormal="10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E9901-9D21-4DC5-A0CB-A719AF1E5426}">
  <dimension ref="A1:J301"/>
  <sheetViews>
    <sheetView workbookViewId="0">
      <selection activeCell="J4" sqref="J4"/>
    </sheetView>
  </sheetViews>
  <sheetFormatPr defaultRowHeight="14.5" x14ac:dyDescent="0.35"/>
  <cols>
    <col min="2" max="2" width="10.08984375" bestFit="1" customWidth="1"/>
  </cols>
  <sheetData>
    <row r="1" spans="1:10" x14ac:dyDescent="0.35">
      <c r="A1" s="3" t="s">
        <v>0</v>
      </c>
      <c r="B1" s="4" t="s">
        <v>1</v>
      </c>
      <c r="C1" s="3" t="s">
        <v>2</v>
      </c>
      <c r="D1" s="3" t="s">
        <v>3</v>
      </c>
      <c r="E1" s="3" t="s">
        <v>4</v>
      </c>
      <c r="F1" s="5" t="s">
        <v>5</v>
      </c>
      <c r="G1" s="5" t="s">
        <v>6</v>
      </c>
      <c r="H1" s="5" t="s">
        <v>7</v>
      </c>
    </row>
    <row r="2" spans="1:10" x14ac:dyDescent="0.35">
      <c r="A2">
        <v>1</v>
      </c>
      <c r="B2" s="1">
        <v>44197</v>
      </c>
      <c r="C2" t="s">
        <v>8</v>
      </c>
      <c r="D2" t="s">
        <v>9</v>
      </c>
      <c r="E2" t="s">
        <v>10</v>
      </c>
      <c r="F2" s="2">
        <v>5</v>
      </c>
      <c r="G2" s="2">
        <v>300</v>
      </c>
      <c r="H2" s="2">
        <v>1500</v>
      </c>
    </row>
    <row r="3" spans="1:10" x14ac:dyDescent="0.35">
      <c r="A3">
        <v>2</v>
      </c>
      <c r="B3" s="1">
        <v>44198</v>
      </c>
      <c r="C3" t="s">
        <v>11</v>
      </c>
      <c r="D3" t="s">
        <v>12</v>
      </c>
      <c r="E3" t="s">
        <v>13</v>
      </c>
      <c r="F3" s="2">
        <v>5</v>
      </c>
      <c r="G3" s="2">
        <v>1500</v>
      </c>
      <c r="H3" s="2">
        <v>7500</v>
      </c>
    </row>
    <row r="4" spans="1:10" x14ac:dyDescent="0.35">
      <c r="A4">
        <v>3</v>
      </c>
      <c r="B4" s="1">
        <v>44199</v>
      </c>
      <c r="C4" t="s">
        <v>11</v>
      </c>
      <c r="D4" t="s">
        <v>14</v>
      </c>
      <c r="E4" t="s">
        <v>15</v>
      </c>
      <c r="F4" s="2">
        <v>7</v>
      </c>
      <c r="G4" s="2">
        <v>210</v>
      </c>
      <c r="H4" s="2">
        <v>1470</v>
      </c>
      <c r="J4" s="2"/>
    </row>
    <row r="5" spans="1:10" x14ac:dyDescent="0.35">
      <c r="A5">
        <v>4</v>
      </c>
      <c r="B5" s="1">
        <v>44200</v>
      </c>
      <c r="C5" t="s">
        <v>16</v>
      </c>
      <c r="D5" t="s">
        <v>12</v>
      </c>
      <c r="E5" t="s">
        <v>17</v>
      </c>
      <c r="F5" s="2">
        <v>2</v>
      </c>
      <c r="G5" s="2">
        <v>1200</v>
      </c>
      <c r="H5" s="2">
        <v>2400</v>
      </c>
    </row>
    <row r="6" spans="1:10" x14ac:dyDescent="0.35">
      <c r="A6">
        <v>5</v>
      </c>
      <c r="B6" s="1">
        <v>44201</v>
      </c>
      <c r="C6" t="s">
        <v>18</v>
      </c>
      <c r="D6" t="s">
        <v>12</v>
      </c>
      <c r="E6" t="s">
        <v>17</v>
      </c>
      <c r="F6" s="2">
        <v>5</v>
      </c>
      <c r="G6" s="2">
        <v>1200</v>
      </c>
      <c r="H6" s="2">
        <v>6000</v>
      </c>
    </row>
    <row r="7" spans="1:10" x14ac:dyDescent="0.35">
      <c r="A7">
        <v>6</v>
      </c>
      <c r="B7" s="1">
        <v>44202</v>
      </c>
      <c r="C7" t="s">
        <v>18</v>
      </c>
      <c r="D7" t="s">
        <v>9</v>
      </c>
      <c r="E7" t="s">
        <v>19</v>
      </c>
      <c r="F7" s="2">
        <v>5</v>
      </c>
      <c r="G7" s="2">
        <v>190</v>
      </c>
      <c r="H7" s="2">
        <v>950</v>
      </c>
    </row>
    <row r="8" spans="1:10" x14ac:dyDescent="0.35">
      <c r="A8">
        <v>7</v>
      </c>
      <c r="B8" s="1">
        <v>44203</v>
      </c>
      <c r="C8" t="s">
        <v>16</v>
      </c>
      <c r="D8" t="s">
        <v>20</v>
      </c>
      <c r="E8" t="s">
        <v>17</v>
      </c>
      <c r="F8" s="2">
        <v>4</v>
      </c>
      <c r="G8" s="2">
        <v>1200</v>
      </c>
      <c r="H8" s="2">
        <v>4800</v>
      </c>
    </row>
    <row r="9" spans="1:10" x14ac:dyDescent="0.35">
      <c r="A9">
        <v>8</v>
      </c>
      <c r="B9" s="1">
        <v>44204</v>
      </c>
      <c r="C9" t="s">
        <v>8</v>
      </c>
      <c r="D9" t="s">
        <v>14</v>
      </c>
      <c r="E9" t="s">
        <v>13</v>
      </c>
      <c r="F9" s="2">
        <v>5</v>
      </c>
      <c r="G9" s="2">
        <v>1500</v>
      </c>
      <c r="H9" s="2">
        <v>7500</v>
      </c>
    </row>
    <row r="10" spans="1:10" x14ac:dyDescent="0.35">
      <c r="A10">
        <v>9</v>
      </c>
      <c r="B10" s="1">
        <v>44205</v>
      </c>
      <c r="C10" t="s">
        <v>21</v>
      </c>
      <c r="D10" t="s">
        <v>12</v>
      </c>
      <c r="E10" t="s">
        <v>15</v>
      </c>
      <c r="F10" s="2">
        <v>5</v>
      </c>
      <c r="G10" s="2">
        <v>210</v>
      </c>
      <c r="H10" s="2">
        <v>1050</v>
      </c>
    </row>
    <row r="11" spans="1:10" x14ac:dyDescent="0.35">
      <c r="A11">
        <v>10</v>
      </c>
      <c r="B11" s="1">
        <v>44206</v>
      </c>
      <c r="C11" t="s">
        <v>8</v>
      </c>
      <c r="D11" t="s">
        <v>20</v>
      </c>
      <c r="E11" t="s">
        <v>15</v>
      </c>
      <c r="F11" s="2">
        <v>2</v>
      </c>
      <c r="G11" s="2">
        <v>210</v>
      </c>
      <c r="H11" s="2">
        <v>420</v>
      </c>
    </row>
    <row r="12" spans="1:10" x14ac:dyDescent="0.35">
      <c r="A12">
        <v>11</v>
      </c>
      <c r="B12" s="1">
        <v>44207</v>
      </c>
      <c r="C12" t="s">
        <v>8</v>
      </c>
      <c r="D12" t="s">
        <v>12</v>
      </c>
      <c r="E12" t="s">
        <v>13</v>
      </c>
      <c r="F12" s="2">
        <v>6</v>
      </c>
      <c r="G12" s="2">
        <v>1500</v>
      </c>
      <c r="H12" s="2">
        <v>9000</v>
      </c>
    </row>
    <row r="13" spans="1:10" x14ac:dyDescent="0.35">
      <c r="A13">
        <v>12</v>
      </c>
      <c r="B13" s="1">
        <v>44208</v>
      </c>
      <c r="C13" t="s">
        <v>11</v>
      </c>
      <c r="D13" t="s">
        <v>14</v>
      </c>
      <c r="E13" t="s">
        <v>13</v>
      </c>
      <c r="F13" s="2">
        <v>5</v>
      </c>
      <c r="G13" s="2">
        <v>1500</v>
      </c>
      <c r="H13" s="2">
        <v>7500</v>
      </c>
    </row>
    <row r="14" spans="1:10" x14ac:dyDescent="0.35">
      <c r="A14">
        <v>13</v>
      </c>
      <c r="B14" s="1">
        <v>44209</v>
      </c>
      <c r="C14" t="s">
        <v>16</v>
      </c>
      <c r="D14" t="s">
        <v>20</v>
      </c>
      <c r="E14" t="s">
        <v>15</v>
      </c>
      <c r="F14" s="2">
        <v>3</v>
      </c>
      <c r="G14" s="2">
        <v>210</v>
      </c>
      <c r="H14" s="2">
        <v>630</v>
      </c>
    </row>
    <row r="15" spans="1:10" x14ac:dyDescent="0.35">
      <c r="A15">
        <v>14</v>
      </c>
      <c r="B15" s="1">
        <v>44210</v>
      </c>
      <c r="C15" t="s">
        <v>18</v>
      </c>
      <c r="D15" t="s">
        <v>9</v>
      </c>
      <c r="E15" t="s">
        <v>17</v>
      </c>
      <c r="F15" s="2">
        <v>3</v>
      </c>
      <c r="G15" s="2">
        <v>1200</v>
      </c>
      <c r="H15" s="2">
        <v>3600</v>
      </c>
    </row>
    <row r="16" spans="1:10" x14ac:dyDescent="0.35">
      <c r="A16">
        <v>15</v>
      </c>
      <c r="B16" s="1">
        <v>44211</v>
      </c>
      <c r="C16" t="s">
        <v>21</v>
      </c>
      <c r="D16" t="s">
        <v>14</v>
      </c>
      <c r="E16" t="s">
        <v>22</v>
      </c>
      <c r="F16" s="2">
        <v>7</v>
      </c>
      <c r="G16" s="2">
        <v>2100</v>
      </c>
      <c r="H16" s="2">
        <v>14700</v>
      </c>
    </row>
    <row r="17" spans="1:8" x14ac:dyDescent="0.35">
      <c r="A17">
        <v>16</v>
      </c>
      <c r="B17" s="1">
        <v>44212</v>
      </c>
      <c r="C17" t="s">
        <v>16</v>
      </c>
      <c r="D17" t="s">
        <v>9</v>
      </c>
      <c r="E17" t="s">
        <v>17</v>
      </c>
      <c r="F17" s="2">
        <v>7</v>
      </c>
      <c r="G17" s="2">
        <v>1200</v>
      </c>
      <c r="H17" s="2">
        <v>8400</v>
      </c>
    </row>
    <row r="18" spans="1:8" x14ac:dyDescent="0.35">
      <c r="A18">
        <v>17</v>
      </c>
      <c r="B18" s="1">
        <v>44213</v>
      </c>
      <c r="C18" t="s">
        <v>18</v>
      </c>
      <c r="D18" t="s">
        <v>14</v>
      </c>
      <c r="E18" t="s">
        <v>22</v>
      </c>
      <c r="F18" s="2">
        <v>7</v>
      </c>
      <c r="G18" s="2">
        <v>2100</v>
      </c>
      <c r="H18" s="2">
        <v>14700</v>
      </c>
    </row>
    <row r="19" spans="1:8" x14ac:dyDescent="0.35">
      <c r="A19">
        <v>18</v>
      </c>
      <c r="B19" s="1">
        <v>44214</v>
      </c>
      <c r="C19" t="s">
        <v>8</v>
      </c>
      <c r="D19" t="s">
        <v>12</v>
      </c>
      <c r="E19" t="s">
        <v>19</v>
      </c>
      <c r="F19" s="2">
        <v>4</v>
      </c>
      <c r="G19" s="2">
        <v>190</v>
      </c>
      <c r="H19" s="2">
        <v>760</v>
      </c>
    </row>
    <row r="20" spans="1:8" x14ac:dyDescent="0.35">
      <c r="A20">
        <v>19</v>
      </c>
      <c r="B20" s="1">
        <v>44215</v>
      </c>
      <c r="C20" t="s">
        <v>11</v>
      </c>
      <c r="D20" t="s">
        <v>9</v>
      </c>
      <c r="E20" t="s">
        <v>19</v>
      </c>
      <c r="F20" s="2">
        <v>2</v>
      </c>
      <c r="G20" s="2">
        <v>190</v>
      </c>
      <c r="H20" s="2">
        <v>380</v>
      </c>
    </row>
    <row r="21" spans="1:8" x14ac:dyDescent="0.35">
      <c r="A21">
        <v>20</v>
      </c>
      <c r="B21" s="1">
        <v>44216</v>
      </c>
      <c r="C21" t="s">
        <v>21</v>
      </c>
      <c r="D21" t="s">
        <v>14</v>
      </c>
      <c r="E21" t="s">
        <v>17</v>
      </c>
      <c r="F21" s="2">
        <v>4</v>
      </c>
      <c r="G21" s="2">
        <v>1200</v>
      </c>
      <c r="H21" s="2">
        <v>4800</v>
      </c>
    </row>
    <row r="22" spans="1:8" x14ac:dyDescent="0.35">
      <c r="A22">
        <v>21</v>
      </c>
      <c r="B22" s="1">
        <v>44217</v>
      </c>
      <c r="C22" t="s">
        <v>21</v>
      </c>
      <c r="D22" t="s">
        <v>12</v>
      </c>
      <c r="E22" t="s">
        <v>15</v>
      </c>
      <c r="F22" s="2">
        <v>2</v>
      </c>
      <c r="G22" s="2">
        <v>210</v>
      </c>
      <c r="H22" s="2">
        <v>420</v>
      </c>
    </row>
    <row r="23" spans="1:8" x14ac:dyDescent="0.35">
      <c r="A23">
        <v>22</v>
      </c>
      <c r="B23" s="1">
        <v>44218</v>
      </c>
      <c r="C23" t="s">
        <v>18</v>
      </c>
      <c r="D23" t="s">
        <v>12</v>
      </c>
      <c r="E23" t="s">
        <v>13</v>
      </c>
      <c r="F23" s="2">
        <v>4</v>
      </c>
      <c r="G23" s="2">
        <v>1500</v>
      </c>
      <c r="H23" s="2">
        <v>6000</v>
      </c>
    </row>
    <row r="24" spans="1:8" x14ac:dyDescent="0.35">
      <c r="A24">
        <v>23</v>
      </c>
      <c r="B24" s="1">
        <v>44219</v>
      </c>
      <c r="C24" t="s">
        <v>18</v>
      </c>
      <c r="D24" t="s">
        <v>20</v>
      </c>
      <c r="E24" t="s">
        <v>17</v>
      </c>
      <c r="F24" s="2">
        <v>5</v>
      </c>
      <c r="G24" s="2">
        <v>1200</v>
      </c>
      <c r="H24" s="2">
        <v>6000</v>
      </c>
    </row>
    <row r="25" spans="1:8" x14ac:dyDescent="0.35">
      <c r="A25">
        <v>24</v>
      </c>
      <c r="B25" s="1">
        <v>44220</v>
      </c>
      <c r="C25" t="s">
        <v>16</v>
      </c>
      <c r="D25" t="s">
        <v>9</v>
      </c>
      <c r="E25" t="s">
        <v>19</v>
      </c>
      <c r="F25" s="2">
        <v>4</v>
      </c>
      <c r="G25" s="2">
        <v>190</v>
      </c>
      <c r="H25" s="2">
        <v>760</v>
      </c>
    </row>
    <row r="26" spans="1:8" x14ac:dyDescent="0.35">
      <c r="A26">
        <v>25</v>
      </c>
      <c r="B26" s="1">
        <v>44221</v>
      </c>
      <c r="C26" t="s">
        <v>21</v>
      </c>
      <c r="D26" t="s">
        <v>9</v>
      </c>
      <c r="E26" t="s">
        <v>13</v>
      </c>
      <c r="F26" s="2">
        <v>5</v>
      </c>
      <c r="G26" s="2">
        <v>1500</v>
      </c>
      <c r="H26" s="2">
        <v>7500</v>
      </c>
    </row>
    <row r="27" spans="1:8" x14ac:dyDescent="0.35">
      <c r="A27">
        <v>26</v>
      </c>
      <c r="B27" s="1">
        <v>44222</v>
      </c>
      <c r="C27" t="s">
        <v>23</v>
      </c>
      <c r="D27" t="s">
        <v>9</v>
      </c>
      <c r="E27" t="s">
        <v>10</v>
      </c>
      <c r="F27" s="2">
        <v>5</v>
      </c>
      <c r="G27" s="2">
        <v>300</v>
      </c>
      <c r="H27" s="2">
        <v>1500</v>
      </c>
    </row>
    <row r="28" spans="1:8" x14ac:dyDescent="0.35">
      <c r="A28">
        <v>27</v>
      </c>
      <c r="B28" s="1">
        <v>44223</v>
      </c>
      <c r="C28" t="s">
        <v>18</v>
      </c>
      <c r="D28" t="s">
        <v>14</v>
      </c>
      <c r="E28" t="s">
        <v>17</v>
      </c>
      <c r="F28" s="2">
        <v>3</v>
      </c>
      <c r="G28" s="2">
        <v>1200</v>
      </c>
      <c r="H28" s="2">
        <v>3600</v>
      </c>
    </row>
    <row r="29" spans="1:8" x14ac:dyDescent="0.35">
      <c r="A29">
        <v>28</v>
      </c>
      <c r="B29" s="1">
        <v>44224</v>
      </c>
      <c r="C29" t="s">
        <v>11</v>
      </c>
      <c r="D29" t="s">
        <v>12</v>
      </c>
      <c r="E29" t="s">
        <v>17</v>
      </c>
      <c r="F29" s="2">
        <v>7</v>
      </c>
      <c r="G29" s="2">
        <v>1200</v>
      </c>
      <c r="H29" s="2">
        <v>8400</v>
      </c>
    </row>
    <row r="30" spans="1:8" x14ac:dyDescent="0.35">
      <c r="A30">
        <v>29</v>
      </c>
      <c r="B30" s="1">
        <v>44225</v>
      </c>
      <c r="C30" t="s">
        <v>16</v>
      </c>
      <c r="D30" t="s">
        <v>9</v>
      </c>
      <c r="E30" t="s">
        <v>13</v>
      </c>
      <c r="F30" s="2">
        <v>2</v>
      </c>
      <c r="G30" s="2">
        <v>1500</v>
      </c>
      <c r="H30" s="2">
        <v>3000</v>
      </c>
    </row>
    <row r="31" spans="1:8" x14ac:dyDescent="0.35">
      <c r="A31">
        <v>30</v>
      </c>
      <c r="B31" s="1">
        <v>44226</v>
      </c>
      <c r="C31" t="s">
        <v>23</v>
      </c>
      <c r="D31" t="s">
        <v>14</v>
      </c>
      <c r="E31" t="s">
        <v>17</v>
      </c>
      <c r="F31" s="2">
        <v>6</v>
      </c>
      <c r="G31" s="2">
        <v>1200</v>
      </c>
      <c r="H31" s="2">
        <v>7200</v>
      </c>
    </row>
    <row r="32" spans="1:8" x14ac:dyDescent="0.35">
      <c r="A32">
        <v>31</v>
      </c>
      <c r="B32" s="1">
        <v>44227</v>
      </c>
      <c r="C32" t="s">
        <v>8</v>
      </c>
      <c r="D32" t="s">
        <v>12</v>
      </c>
      <c r="E32" t="s">
        <v>13</v>
      </c>
      <c r="F32" s="2">
        <v>4</v>
      </c>
      <c r="G32" s="2">
        <v>1500</v>
      </c>
      <c r="H32" s="2">
        <v>6000</v>
      </c>
    </row>
    <row r="33" spans="1:8" x14ac:dyDescent="0.35">
      <c r="A33">
        <v>32</v>
      </c>
      <c r="B33" s="1">
        <v>44228</v>
      </c>
      <c r="C33" t="s">
        <v>16</v>
      </c>
      <c r="D33" t="s">
        <v>12</v>
      </c>
      <c r="E33" t="s">
        <v>17</v>
      </c>
      <c r="F33" s="2">
        <v>2</v>
      </c>
      <c r="G33" s="2">
        <v>1200</v>
      </c>
      <c r="H33" s="2">
        <v>2400</v>
      </c>
    </row>
    <row r="34" spans="1:8" x14ac:dyDescent="0.35">
      <c r="A34">
        <v>33</v>
      </c>
      <c r="B34" s="1">
        <v>44229</v>
      </c>
      <c r="C34" t="s">
        <v>8</v>
      </c>
      <c r="D34" t="s">
        <v>20</v>
      </c>
      <c r="E34" t="s">
        <v>10</v>
      </c>
      <c r="F34" s="2">
        <v>6</v>
      </c>
      <c r="G34" s="2">
        <v>300</v>
      </c>
      <c r="H34" s="2">
        <v>1800</v>
      </c>
    </row>
    <row r="35" spans="1:8" x14ac:dyDescent="0.35">
      <c r="A35">
        <v>34</v>
      </c>
      <c r="B35" s="1">
        <v>44230</v>
      </c>
      <c r="C35" t="s">
        <v>21</v>
      </c>
      <c r="D35" t="s">
        <v>14</v>
      </c>
      <c r="E35" t="s">
        <v>10</v>
      </c>
      <c r="F35" s="2">
        <v>4</v>
      </c>
      <c r="G35" s="2">
        <v>300</v>
      </c>
      <c r="H35" s="2">
        <v>1200</v>
      </c>
    </row>
    <row r="36" spans="1:8" x14ac:dyDescent="0.35">
      <c r="A36">
        <v>35</v>
      </c>
      <c r="B36" s="1">
        <v>44231</v>
      </c>
      <c r="C36" t="s">
        <v>11</v>
      </c>
      <c r="D36" t="s">
        <v>12</v>
      </c>
      <c r="E36" t="s">
        <v>17</v>
      </c>
      <c r="F36" s="2">
        <v>3</v>
      </c>
      <c r="G36" s="2">
        <v>1200</v>
      </c>
      <c r="H36" s="2">
        <v>3600</v>
      </c>
    </row>
    <row r="37" spans="1:8" x14ac:dyDescent="0.35">
      <c r="A37">
        <v>36</v>
      </c>
      <c r="B37" s="1">
        <v>44232</v>
      </c>
      <c r="C37" t="s">
        <v>23</v>
      </c>
      <c r="D37" t="s">
        <v>12</v>
      </c>
      <c r="E37" t="s">
        <v>10</v>
      </c>
      <c r="F37" s="2">
        <v>6</v>
      </c>
      <c r="G37" s="2">
        <v>300</v>
      </c>
      <c r="H37" s="2">
        <v>1800</v>
      </c>
    </row>
    <row r="38" spans="1:8" x14ac:dyDescent="0.35">
      <c r="A38">
        <v>37</v>
      </c>
      <c r="B38" s="1">
        <v>44233</v>
      </c>
      <c r="C38" t="s">
        <v>18</v>
      </c>
      <c r="D38" t="s">
        <v>20</v>
      </c>
      <c r="E38" t="s">
        <v>10</v>
      </c>
      <c r="F38" s="2">
        <v>5</v>
      </c>
      <c r="G38" s="2">
        <v>300</v>
      </c>
      <c r="H38" s="2">
        <v>1500</v>
      </c>
    </row>
    <row r="39" spans="1:8" x14ac:dyDescent="0.35">
      <c r="A39">
        <v>38</v>
      </c>
      <c r="B39" s="1">
        <v>44234</v>
      </c>
      <c r="C39" t="s">
        <v>23</v>
      </c>
      <c r="D39" t="s">
        <v>12</v>
      </c>
      <c r="E39" t="s">
        <v>22</v>
      </c>
      <c r="F39" s="2">
        <v>5</v>
      </c>
      <c r="G39" s="2">
        <v>2100</v>
      </c>
      <c r="H39" s="2">
        <v>10500</v>
      </c>
    </row>
    <row r="40" spans="1:8" x14ac:dyDescent="0.35">
      <c r="A40">
        <v>39</v>
      </c>
      <c r="B40" s="1">
        <v>44235</v>
      </c>
      <c r="C40" t="s">
        <v>18</v>
      </c>
      <c r="D40" t="s">
        <v>14</v>
      </c>
      <c r="E40" t="s">
        <v>17</v>
      </c>
      <c r="F40" s="2">
        <v>6</v>
      </c>
      <c r="G40" s="2">
        <v>1200</v>
      </c>
      <c r="H40" s="2">
        <v>7200</v>
      </c>
    </row>
    <row r="41" spans="1:8" x14ac:dyDescent="0.35">
      <c r="A41">
        <v>40</v>
      </c>
      <c r="B41" s="1">
        <v>44236</v>
      </c>
      <c r="C41" t="s">
        <v>8</v>
      </c>
      <c r="D41" t="s">
        <v>12</v>
      </c>
      <c r="E41" t="s">
        <v>13</v>
      </c>
      <c r="F41" s="2">
        <v>3</v>
      </c>
      <c r="G41" s="2">
        <v>1500</v>
      </c>
      <c r="H41" s="2">
        <v>4500</v>
      </c>
    </row>
    <row r="42" spans="1:8" x14ac:dyDescent="0.35">
      <c r="A42">
        <v>41</v>
      </c>
      <c r="B42" s="1">
        <v>44237</v>
      </c>
      <c r="C42" t="s">
        <v>11</v>
      </c>
      <c r="D42" t="s">
        <v>12</v>
      </c>
      <c r="E42" t="s">
        <v>13</v>
      </c>
      <c r="F42" s="2">
        <v>7</v>
      </c>
      <c r="G42" s="2">
        <v>1500</v>
      </c>
      <c r="H42" s="2">
        <v>10500</v>
      </c>
    </row>
    <row r="43" spans="1:8" x14ac:dyDescent="0.35">
      <c r="A43">
        <v>42</v>
      </c>
      <c r="B43" s="1">
        <v>44238</v>
      </c>
      <c r="C43" t="s">
        <v>23</v>
      </c>
      <c r="D43" t="s">
        <v>9</v>
      </c>
      <c r="E43" t="s">
        <v>13</v>
      </c>
      <c r="F43" s="2">
        <v>2</v>
      </c>
      <c r="G43" s="2">
        <v>1500</v>
      </c>
      <c r="H43" s="2">
        <v>3000</v>
      </c>
    </row>
    <row r="44" spans="1:8" x14ac:dyDescent="0.35">
      <c r="A44">
        <v>43</v>
      </c>
      <c r="B44" s="1">
        <v>44239</v>
      </c>
      <c r="C44" t="s">
        <v>18</v>
      </c>
      <c r="D44" t="s">
        <v>20</v>
      </c>
      <c r="E44" t="s">
        <v>13</v>
      </c>
      <c r="F44" s="2">
        <v>5</v>
      </c>
      <c r="G44" s="2">
        <v>1500</v>
      </c>
      <c r="H44" s="2">
        <v>7500</v>
      </c>
    </row>
    <row r="45" spans="1:8" x14ac:dyDescent="0.35">
      <c r="A45">
        <v>44</v>
      </c>
      <c r="B45" s="1">
        <v>44240</v>
      </c>
      <c r="C45" t="s">
        <v>8</v>
      </c>
      <c r="D45" t="s">
        <v>9</v>
      </c>
      <c r="E45" t="s">
        <v>13</v>
      </c>
      <c r="F45" s="2">
        <v>5</v>
      </c>
      <c r="G45" s="2">
        <v>1500</v>
      </c>
      <c r="H45" s="2">
        <v>7500</v>
      </c>
    </row>
    <row r="46" spans="1:8" x14ac:dyDescent="0.35">
      <c r="A46">
        <v>45</v>
      </c>
      <c r="B46" s="1">
        <v>44241</v>
      </c>
      <c r="C46" t="s">
        <v>21</v>
      </c>
      <c r="D46" t="s">
        <v>12</v>
      </c>
      <c r="E46" t="s">
        <v>10</v>
      </c>
      <c r="F46" s="2">
        <v>3</v>
      </c>
      <c r="G46" s="2">
        <v>300</v>
      </c>
      <c r="H46" s="2">
        <v>900</v>
      </c>
    </row>
    <row r="47" spans="1:8" x14ac:dyDescent="0.35">
      <c r="A47">
        <v>46</v>
      </c>
      <c r="B47" s="1">
        <v>44242</v>
      </c>
      <c r="C47" t="s">
        <v>8</v>
      </c>
      <c r="D47" t="s">
        <v>20</v>
      </c>
      <c r="E47" t="s">
        <v>13</v>
      </c>
      <c r="F47" s="2">
        <v>5</v>
      </c>
      <c r="G47" s="2">
        <v>1500</v>
      </c>
      <c r="H47" s="2">
        <v>7500</v>
      </c>
    </row>
    <row r="48" spans="1:8" x14ac:dyDescent="0.35">
      <c r="A48">
        <v>47</v>
      </c>
      <c r="B48" s="1">
        <v>44243</v>
      </c>
      <c r="C48" t="s">
        <v>23</v>
      </c>
      <c r="D48" t="s">
        <v>14</v>
      </c>
      <c r="E48" t="s">
        <v>15</v>
      </c>
      <c r="F48" s="2">
        <v>6</v>
      </c>
      <c r="G48" s="2">
        <v>210</v>
      </c>
      <c r="H48" s="2">
        <v>1260</v>
      </c>
    </row>
    <row r="49" spans="1:8" x14ac:dyDescent="0.35">
      <c r="A49">
        <v>48</v>
      </c>
      <c r="B49" s="1">
        <v>44244</v>
      </c>
      <c r="C49" t="s">
        <v>8</v>
      </c>
      <c r="D49" t="s">
        <v>20</v>
      </c>
      <c r="E49" t="s">
        <v>22</v>
      </c>
      <c r="F49" s="2">
        <v>6</v>
      </c>
      <c r="G49" s="2">
        <v>2100</v>
      </c>
      <c r="H49" s="2">
        <v>12600</v>
      </c>
    </row>
    <row r="50" spans="1:8" x14ac:dyDescent="0.35">
      <c r="A50">
        <v>49</v>
      </c>
      <c r="B50" s="1">
        <v>44245</v>
      </c>
      <c r="C50" t="s">
        <v>8</v>
      </c>
      <c r="D50" t="s">
        <v>9</v>
      </c>
      <c r="E50" t="s">
        <v>13</v>
      </c>
      <c r="F50" s="2">
        <v>3</v>
      </c>
      <c r="G50" s="2">
        <v>1500</v>
      </c>
      <c r="H50" s="2">
        <v>4500</v>
      </c>
    </row>
    <row r="51" spans="1:8" x14ac:dyDescent="0.35">
      <c r="A51">
        <v>50</v>
      </c>
      <c r="B51" s="1">
        <v>44246</v>
      </c>
      <c r="C51" t="s">
        <v>11</v>
      </c>
      <c r="D51" t="s">
        <v>14</v>
      </c>
      <c r="E51" t="s">
        <v>17</v>
      </c>
      <c r="F51" s="2">
        <v>2</v>
      </c>
      <c r="G51" s="2">
        <v>1200</v>
      </c>
      <c r="H51" s="2">
        <v>2400</v>
      </c>
    </row>
    <row r="52" spans="1:8" x14ac:dyDescent="0.35">
      <c r="A52">
        <v>51</v>
      </c>
      <c r="B52" s="1">
        <v>44247</v>
      </c>
      <c r="C52" t="s">
        <v>11</v>
      </c>
      <c r="D52" t="s">
        <v>20</v>
      </c>
      <c r="E52" t="s">
        <v>10</v>
      </c>
      <c r="F52" s="2">
        <v>7</v>
      </c>
      <c r="G52" s="2">
        <v>300</v>
      </c>
      <c r="H52" s="2">
        <v>2100</v>
      </c>
    </row>
    <row r="53" spans="1:8" x14ac:dyDescent="0.35">
      <c r="A53">
        <v>52</v>
      </c>
      <c r="B53" s="1">
        <v>44248</v>
      </c>
      <c r="C53" t="s">
        <v>21</v>
      </c>
      <c r="D53" t="s">
        <v>12</v>
      </c>
      <c r="E53" t="s">
        <v>13</v>
      </c>
      <c r="F53" s="2">
        <v>3</v>
      </c>
      <c r="G53" s="2">
        <v>1500</v>
      </c>
      <c r="H53" s="2">
        <v>4500</v>
      </c>
    </row>
    <row r="54" spans="1:8" x14ac:dyDescent="0.35">
      <c r="A54">
        <v>53</v>
      </c>
      <c r="B54" s="1">
        <v>44249</v>
      </c>
      <c r="C54" t="s">
        <v>23</v>
      </c>
      <c r="D54" t="s">
        <v>20</v>
      </c>
      <c r="E54" t="s">
        <v>22</v>
      </c>
      <c r="F54" s="2">
        <v>7</v>
      </c>
      <c r="G54" s="2">
        <v>2100</v>
      </c>
      <c r="H54" s="2">
        <v>14700</v>
      </c>
    </row>
    <row r="55" spans="1:8" x14ac:dyDescent="0.35">
      <c r="A55">
        <v>54</v>
      </c>
      <c r="B55" s="1">
        <v>44250</v>
      </c>
      <c r="C55" t="s">
        <v>21</v>
      </c>
      <c r="D55" t="s">
        <v>12</v>
      </c>
      <c r="E55" t="s">
        <v>19</v>
      </c>
      <c r="F55" s="2">
        <v>4</v>
      </c>
      <c r="G55" s="2">
        <v>190</v>
      </c>
      <c r="H55" s="2">
        <v>760</v>
      </c>
    </row>
    <row r="56" spans="1:8" x14ac:dyDescent="0.35">
      <c r="A56">
        <v>55</v>
      </c>
      <c r="B56" s="1">
        <v>44251</v>
      </c>
      <c r="C56" t="s">
        <v>8</v>
      </c>
      <c r="D56" t="s">
        <v>14</v>
      </c>
      <c r="E56" t="s">
        <v>22</v>
      </c>
      <c r="F56" s="2">
        <v>7</v>
      </c>
      <c r="G56" s="2">
        <v>2100</v>
      </c>
      <c r="H56" s="2">
        <v>14700</v>
      </c>
    </row>
    <row r="57" spans="1:8" x14ac:dyDescent="0.35">
      <c r="A57">
        <v>56</v>
      </c>
      <c r="B57" s="1">
        <v>44252</v>
      </c>
      <c r="C57" t="s">
        <v>16</v>
      </c>
      <c r="D57" t="s">
        <v>14</v>
      </c>
      <c r="E57" t="s">
        <v>15</v>
      </c>
      <c r="F57" s="2">
        <v>6</v>
      </c>
      <c r="G57" s="2">
        <v>210</v>
      </c>
      <c r="H57" s="2">
        <v>1260</v>
      </c>
    </row>
    <row r="58" spans="1:8" x14ac:dyDescent="0.35">
      <c r="A58">
        <v>57</v>
      </c>
      <c r="B58" s="1">
        <v>44253</v>
      </c>
      <c r="C58" t="s">
        <v>11</v>
      </c>
      <c r="D58" t="s">
        <v>9</v>
      </c>
      <c r="E58" t="s">
        <v>19</v>
      </c>
      <c r="F58" s="2">
        <v>7</v>
      </c>
      <c r="G58" s="2">
        <v>190</v>
      </c>
      <c r="H58" s="2">
        <v>1330</v>
      </c>
    </row>
    <row r="59" spans="1:8" x14ac:dyDescent="0.35">
      <c r="A59">
        <v>58</v>
      </c>
      <c r="B59" s="1">
        <v>44254</v>
      </c>
      <c r="C59" t="s">
        <v>21</v>
      </c>
      <c r="D59" t="s">
        <v>14</v>
      </c>
      <c r="E59" t="s">
        <v>19</v>
      </c>
      <c r="F59" s="2">
        <v>7</v>
      </c>
      <c r="G59" s="2">
        <v>190</v>
      </c>
      <c r="H59" s="2">
        <v>1330</v>
      </c>
    </row>
    <row r="60" spans="1:8" x14ac:dyDescent="0.35">
      <c r="A60">
        <v>59</v>
      </c>
      <c r="B60" s="1">
        <v>44255</v>
      </c>
      <c r="C60" t="s">
        <v>16</v>
      </c>
      <c r="D60" t="s">
        <v>9</v>
      </c>
      <c r="E60" t="s">
        <v>19</v>
      </c>
      <c r="F60" s="2">
        <v>6</v>
      </c>
      <c r="G60" s="2">
        <v>190</v>
      </c>
      <c r="H60" s="2">
        <v>1140</v>
      </c>
    </row>
    <row r="61" spans="1:8" x14ac:dyDescent="0.35">
      <c r="A61">
        <v>60</v>
      </c>
      <c r="B61" s="1">
        <v>44256</v>
      </c>
      <c r="C61" t="s">
        <v>11</v>
      </c>
      <c r="D61" t="s">
        <v>20</v>
      </c>
      <c r="E61" t="s">
        <v>22</v>
      </c>
      <c r="F61" s="2">
        <v>5</v>
      </c>
      <c r="G61" s="2">
        <v>2100</v>
      </c>
      <c r="H61" s="2">
        <v>10500</v>
      </c>
    </row>
    <row r="62" spans="1:8" x14ac:dyDescent="0.35">
      <c r="A62">
        <v>61</v>
      </c>
      <c r="B62" s="1">
        <v>44257</v>
      </c>
      <c r="C62" t="s">
        <v>16</v>
      </c>
      <c r="D62" t="s">
        <v>14</v>
      </c>
      <c r="E62" t="s">
        <v>22</v>
      </c>
      <c r="F62" s="2">
        <v>5</v>
      </c>
      <c r="G62" s="2">
        <v>2100</v>
      </c>
      <c r="H62" s="2">
        <v>10500</v>
      </c>
    </row>
    <row r="63" spans="1:8" x14ac:dyDescent="0.35">
      <c r="A63">
        <v>62</v>
      </c>
      <c r="B63" s="1">
        <v>44258</v>
      </c>
      <c r="C63" t="s">
        <v>11</v>
      </c>
      <c r="D63" t="s">
        <v>14</v>
      </c>
      <c r="E63" t="s">
        <v>22</v>
      </c>
      <c r="F63" s="2">
        <v>7</v>
      </c>
      <c r="G63" s="2">
        <v>2100</v>
      </c>
      <c r="H63" s="2">
        <v>14700</v>
      </c>
    </row>
    <row r="64" spans="1:8" x14ac:dyDescent="0.35">
      <c r="A64">
        <v>63</v>
      </c>
      <c r="B64" s="1">
        <v>44259</v>
      </c>
      <c r="C64" t="s">
        <v>8</v>
      </c>
      <c r="D64" t="s">
        <v>12</v>
      </c>
      <c r="E64" t="s">
        <v>10</v>
      </c>
      <c r="F64" s="2">
        <v>5</v>
      </c>
      <c r="G64" s="2">
        <v>300</v>
      </c>
      <c r="H64" s="2">
        <v>1500</v>
      </c>
    </row>
    <row r="65" spans="1:8" x14ac:dyDescent="0.35">
      <c r="A65">
        <v>64</v>
      </c>
      <c r="B65" s="1">
        <v>44260</v>
      </c>
      <c r="C65" t="s">
        <v>8</v>
      </c>
      <c r="D65" t="s">
        <v>14</v>
      </c>
      <c r="E65" t="s">
        <v>22</v>
      </c>
      <c r="F65" s="2">
        <v>7</v>
      </c>
      <c r="G65" s="2">
        <v>2100</v>
      </c>
      <c r="H65" s="2">
        <v>14700</v>
      </c>
    </row>
    <row r="66" spans="1:8" x14ac:dyDescent="0.35">
      <c r="A66">
        <v>65</v>
      </c>
      <c r="B66" s="1">
        <v>44261</v>
      </c>
      <c r="C66" t="s">
        <v>18</v>
      </c>
      <c r="D66" t="s">
        <v>20</v>
      </c>
      <c r="E66" t="s">
        <v>13</v>
      </c>
      <c r="F66" s="2">
        <v>3</v>
      </c>
      <c r="G66" s="2">
        <v>1500</v>
      </c>
      <c r="H66" s="2">
        <v>4500</v>
      </c>
    </row>
    <row r="67" spans="1:8" x14ac:dyDescent="0.35">
      <c r="A67">
        <v>66</v>
      </c>
      <c r="B67" s="1">
        <v>44262</v>
      </c>
      <c r="C67" t="s">
        <v>23</v>
      </c>
      <c r="D67" t="s">
        <v>9</v>
      </c>
      <c r="E67" t="s">
        <v>13</v>
      </c>
      <c r="F67" s="2">
        <v>6</v>
      </c>
      <c r="G67" s="2">
        <v>1500</v>
      </c>
      <c r="H67" s="2">
        <v>9000</v>
      </c>
    </row>
    <row r="68" spans="1:8" x14ac:dyDescent="0.35">
      <c r="A68">
        <v>67</v>
      </c>
      <c r="B68" s="1">
        <v>44263</v>
      </c>
      <c r="C68" t="s">
        <v>23</v>
      </c>
      <c r="D68" t="s">
        <v>20</v>
      </c>
      <c r="E68" t="s">
        <v>15</v>
      </c>
      <c r="F68" s="2">
        <v>4</v>
      </c>
      <c r="G68" s="2">
        <v>210</v>
      </c>
      <c r="H68" s="2">
        <v>840</v>
      </c>
    </row>
    <row r="69" spans="1:8" x14ac:dyDescent="0.35">
      <c r="A69">
        <v>68</v>
      </c>
      <c r="B69" s="1">
        <v>44264</v>
      </c>
      <c r="C69" t="s">
        <v>16</v>
      </c>
      <c r="D69" t="s">
        <v>20</v>
      </c>
      <c r="E69" t="s">
        <v>22</v>
      </c>
      <c r="F69" s="2">
        <v>2</v>
      </c>
      <c r="G69" s="2">
        <v>2100</v>
      </c>
      <c r="H69" s="2">
        <v>4200</v>
      </c>
    </row>
    <row r="70" spans="1:8" x14ac:dyDescent="0.35">
      <c r="A70">
        <v>69</v>
      </c>
      <c r="B70" s="1">
        <v>44265</v>
      </c>
      <c r="C70" t="s">
        <v>8</v>
      </c>
      <c r="D70" t="s">
        <v>20</v>
      </c>
      <c r="E70" t="s">
        <v>13</v>
      </c>
      <c r="F70" s="2">
        <v>5</v>
      </c>
      <c r="G70" s="2">
        <v>1500</v>
      </c>
      <c r="H70" s="2">
        <v>7500</v>
      </c>
    </row>
    <row r="71" spans="1:8" x14ac:dyDescent="0.35">
      <c r="A71">
        <v>70</v>
      </c>
      <c r="B71" s="1">
        <v>44266</v>
      </c>
      <c r="C71" t="s">
        <v>18</v>
      </c>
      <c r="D71" t="s">
        <v>12</v>
      </c>
      <c r="E71" t="s">
        <v>17</v>
      </c>
      <c r="F71" s="2">
        <v>6</v>
      </c>
      <c r="G71" s="2">
        <v>1200</v>
      </c>
      <c r="H71" s="2">
        <v>7200</v>
      </c>
    </row>
    <row r="72" spans="1:8" x14ac:dyDescent="0.35">
      <c r="A72">
        <v>71</v>
      </c>
      <c r="B72" s="1">
        <v>44267</v>
      </c>
      <c r="C72" t="s">
        <v>21</v>
      </c>
      <c r="D72" t="s">
        <v>14</v>
      </c>
      <c r="E72" t="s">
        <v>22</v>
      </c>
      <c r="F72" s="2">
        <v>7</v>
      </c>
      <c r="G72" s="2">
        <v>2100</v>
      </c>
      <c r="H72" s="2">
        <v>14700</v>
      </c>
    </row>
    <row r="73" spans="1:8" x14ac:dyDescent="0.35">
      <c r="A73">
        <v>72</v>
      </c>
      <c r="B73" s="1">
        <v>44268</v>
      </c>
      <c r="C73" t="s">
        <v>18</v>
      </c>
      <c r="D73" t="s">
        <v>9</v>
      </c>
      <c r="E73" t="s">
        <v>17</v>
      </c>
      <c r="F73" s="2">
        <v>3</v>
      </c>
      <c r="G73" s="2">
        <v>1200</v>
      </c>
      <c r="H73" s="2">
        <v>3600</v>
      </c>
    </row>
    <row r="74" spans="1:8" x14ac:dyDescent="0.35">
      <c r="A74">
        <v>73</v>
      </c>
      <c r="B74" s="1">
        <v>44269</v>
      </c>
      <c r="C74" t="s">
        <v>11</v>
      </c>
      <c r="D74" t="s">
        <v>20</v>
      </c>
      <c r="E74" t="s">
        <v>19</v>
      </c>
      <c r="F74" s="2">
        <v>5</v>
      </c>
      <c r="G74" s="2">
        <v>190</v>
      </c>
      <c r="H74" s="2">
        <v>950</v>
      </c>
    </row>
    <row r="75" spans="1:8" x14ac:dyDescent="0.35">
      <c r="A75">
        <v>74</v>
      </c>
      <c r="B75" s="1">
        <v>44270</v>
      </c>
      <c r="C75" t="s">
        <v>8</v>
      </c>
      <c r="D75" t="s">
        <v>20</v>
      </c>
      <c r="E75" t="s">
        <v>10</v>
      </c>
      <c r="F75" s="2">
        <v>5</v>
      </c>
      <c r="G75" s="2">
        <v>300</v>
      </c>
      <c r="H75" s="2">
        <v>1500</v>
      </c>
    </row>
    <row r="76" spans="1:8" x14ac:dyDescent="0.35">
      <c r="A76">
        <v>75</v>
      </c>
      <c r="B76" s="1">
        <v>44271</v>
      </c>
      <c r="C76" t="s">
        <v>8</v>
      </c>
      <c r="D76" t="s">
        <v>9</v>
      </c>
      <c r="E76" t="s">
        <v>10</v>
      </c>
      <c r="F76" s="2">
        <v>3</v>
      </c>
      <c r="G76" s="2">
        <v>300</v>
      </c>
      <c r="H76" s="2">
        <v>900</v>
      </c>
    </row>
    <row r="77" spans="1:8" x14ac:dyDescent="0.35">
      <c r="A77">
        <v>76</v>
      </c>
      <c r="B77" s="1">
        <v>44272</v>
      </c>
      <c r="C77" t="s">
        <v>11</v>
      </c>
      <c r="D77" t="s">
        <v>14</v>
      </c>
      <c r="E77" t="s">
        <v>13</v>
      </c>
      <c r="F77" s="2">
        <v>7</v>
      </c>
      <c r="G77" s="2">
        <v>1500</v>
      </c>
      <c r="H77" s="2">
        <v>10500</v>
      </c>
    </row>
    <row r="78" spans="1:8" x14ac:dyDescent="0.35">
      <c r="A78">
        <v>77</v>
      </c>
      <c r="B78" s="1">
        <v>44273</v>
      </c>
      <c r="C78" t="s">
        <v>21</v>
      </c>
      <c r="D78" t="s">
        <v>20</v>
      </c>
      <c r="E78" t="s">
        <v>17</v>
      </c>
      <c r="F78" s="2">
        <v>4</v>
      </c>
      <c r="G78" s="2">
        <v>1200</v>
      </c>
      <c r="H78" s="2">
        <v>4800</v>
      </c>
    </row>
    <row r="79" spans="1:8" x14ac:dyDescent="0.35">
      <c r="A79">
        <v>78</v>
      </c>
      <c r="B79" s="1">
        <v>44274</v>
      </c>
      <c r="C79" t="s">
        <v>23</v>
      </c>
      <c r="D79" t="s">
        <v>14</v>
      </c>
      <c r="E79" t="s">
        <v>17</v>
      </c>
      <c r="F79" s="2">
        <v>5</v>
      </c>
      <c r="G79" s="2">
        <v>1200</v>
      </c>
      <c r="H79" s="2">
        <v>6000</v>
      </c>
    </row>
    <row r="80" spans="1:8" x14ac:dyDescent="0.35">
      <c r="A80">
        <v>79</v>
      </c>
      <c r="B80" s="1">
        <v>44275</v>
      </c>
      <c r="C80" t="s">
        <v>23</v>
      </c>
      <c r="D80" t="s">
        <v>14</v>
      </c>
      <c r="E80" t="s">
        <v>13</v>
      </c>
      <c r="F80" s="2">
        <v>4</v>
      </c>
      <c r="G80" s="2">
        <v>1500</v>
      </c>
      <c r="H80" s="2">
        <v>6000</v>
      </c>
    </row>
    <row r="81" spans="1:8" x14ac:dyDescent="0.35">
      <c r="A81">
        <v>80</v>
      </c>
      <c r="B81" s="1">
        <v>44276</v>
      </c>
      <c r="C81" t="s">
        <v>23</v>
      </c>
      <c r="D81" t="s">
        <v>9</v>
      </c>
      <c r="E81" t="s">
        <v>17</v>
      </c>
      <c r="F81" s="2">
        <v>3</v>
      </c>
      <c r="G81" s="2">
        <v>1200</v>
      </c>
      <c r="H81" s="2">
        <v>3600</v>
      </c>
    </row>
    <row r="82" spans="1:8" x14ac:dyDescent="0.35">
      <c r="A82">
        <v>81</v>
      </c>
      <c r="B82" s="1">
        <v>44277</v>
      </c>
      <c r="C82" t="s">
        <v>23</v>
      </c>
      <c r="D82" t="s">
        <v>20</v>
      </c>
      <c r="E82" t="s">
        <v>10</v>
      </c>
      <c r="F82" s="2">
        <v>7</v>
      </c>
      <c r="G82" s="2">
        <v>300</v>
      </c>
      <c r="H82" s="2">
        <v>2100</v>
      </c>
    </row>
    <row r="83" spans="1:8" x14ac:dyDescent="0.35">
      <c r="A83">
        <v>82</v>
      </c>
      <c r="B83" s="1">
        <v>44278</v>
      </c>
      <c r="C83" t="s">
        <v>18</v>
      </c>
      <c r="D83" t="s">
        <v>12</v>
      </c>
      <c r="E83" t="s">
        <v>15</v>
      </c>
      <c r="F83" s="2">
        <v>4</v>
      </c>
      <c r="G83" s="2">
        <v>210</v>
      </c>
      <c r="H83" s="2">
        <v>840</v>
      </c>
    </row>
    <row r="84" spans="1:8" x14ac:dyDescent="0.35">
      <c r="A84">
        <v>83</v>
      </c>
      <c r="B84" s="1">
        <v>44279</v>
      </c>
      <c r="C84" t="s">
        <v>21</v>
      </c>
      <c r="D84" t="s">
        <v>9</v>
      </c>
      <c r="E84" t="s">
        <v>17</v>
      </c>
      <c r="F84" s="2">
        <v>5</v>
      </c>
      <c r="G84" s="2">
        <v>1200</v>
      </c>
      <c r="H84" s="2">
        <v>6000</v>
      </c>
    </row>
    <row r="85" spans="1:8" x14ac:dyDescent="0.35">
      <c r="A85">
        <v>84</v>
      </c>
      <c r="B85" s="1">
        <v>44280</v>
      </c>
      <c r="C85" t="s">
        <v>18</v>
      </c>
      <c r="D85" t="s">
        <v>12</v>
      </c>
      <c r="E85" t="s">
        <v>17</v>
      </c>
      <c r="F85" s="2">
        <v>3</v>
      </c>
      <c r="G85" s="2">
        <v>1200</v>
      </c>
      <c r="H85" s="2">
        <v>3600</v>
      </c>
    </row>
    <row r="86" spans="1:8" x14ac:dyDescent="0.35">
      <c r="A86">
        <v>85</v>
      </c>
      <c r="B86" s="1">
        <v>44281</v>
      </c>
      <c r="C86" t="s">
        <v>8</v>
      </c>
      <c r="D86" t="s">
        <v>20</v>
      </c>
      <c r="E86" t="s">
        <v>19</v>
      </c>
      <c r="F86" s="2">
        <v>5</v>
      </c>
      <c r="G86" s="2">
        <v>190</v>
      </c>
      <c r="H86" s="2">
        <v>950</v>
      </c>
    </row>
    <row r="87" spans="1:8" x14ac:dyDescent="0.35">
      <c r="A87">
        <v>86</v>
      </c>
      <c r="B87" s="1">
        <v>44282</v>
      </c>
      <c r="C87" t="s">
        <v>16</v>
      </c>
      <c r="D87" t="s">
        <v>12</v>
      </c>
      <c r="E87" t="s">
        <v>22</v>
      </c>
      <c r="F87" s="2">
        <v>6</v>
      </c>
      <c r="G87" s="2">
        <v>2100</v>
      </c>
      <c r="H87" s="2">
        <v>12600</v>
      </c>
    </row>
    <row r="88" spans="1:8" x14ac:dyDescent="0.35">
      <c r="A88">
        <v>87</v>
      </c>
      <c r="B88" s="1">
        <v>44283</v>
      </c>
      <c r="C88" t="s">
        <v>18</v>
      </c>
      <c r="D88" t="s">
        <v>14</v>
      </c>
      <c r="E88" t="s">
        <v>19</v>
      </c>
      <c r="F88" s="2">
        <v>7</v>
      </c>
      <c r="G88" s="2">
        <v>190</v>
      </c>
      <c r="H88" s="2">
        <v>1330</v>
      </c>
    </row>
    <row r="89" spans="1:8" x14ac:dyDescent="0.35">
      <c r="A89">
        <v>88</v>
      </c>
      <c r="B89" s="1">
        <v>44284</v>
      </c>
      <c r="C89" t="s">
        <v>16</v>
      </c>
      <c r="D89" t="s">
        <v>12</v>
      </c>
      <c r="E89" t="s">
        <v>22</v>
      </c>
      <c r="F89" s="2">
        <v>2</v>
      </c>
      <c r="G89" s="2">
        <v>2100</v>
      </c>
      <c r="H89" s="2">
        <v>4200</v>
      </c>
    </row>
    <row r="90" spans="1:8" x14ac:dyDescent="0.35">
      <c r="A90">
        <v>89</v>
      </c>
      <c r="B90" s="1">
        <v>44285</v>
      </c>
      <c r="C90" t="s">
        <v>11</v>
      </c>
      <c r="D90" t="s">
        <v>12</v>
      </c>
      <c r="E90" t="s">
        <v>10</v>
      </c>
      <c r="F90" s="2">
        <v>2</v>
      </c>
      <c r="G90" s="2">
        <v>300</v>
      </c>
      <c r="H90" s="2">
        <v>600</v>
      </c>
    </row>
    <row r="91" spans="1:8" x14ac:dyDescent="0.35">
      <c r="A91">
        <v>90</v>
      </c>
      <c r="B91" s="1">
        <v>44286</v>
      </c>
      <c r="C91" t="s">
        <v>11</v>
      </c>
      <c r="D91" t="s">
        <v>12</v>
      </c>
      <c r="E91" t="s">
        <v>15</v>
      </c>
      <c r="F91" s="2">
        <v>4</v>
      </c>
      <c r="G91" s="2">
        <v>210</v>
      </c>
      <c r="H91" s="2">
        <v>840</v>
      </c>
    </row>
    <row r="92" spans="1:8" x14ac:dyDescent="0.35">
      <c r="A92">
        <v>91</v>
      </c>
      <c r="B92" s="1">
        <v>44287</v>
      </c>
      <c r="C92" t="s">
        <v>21</v>
      </c>
      <c r="D92" t="s">
        <v>20</v>
      </c>
      <c r="E92" t="s">
        <v>17</v>
      </c>
      <c r="F92" s="2">
        <v>4</v>
      </c>
      <c r="G92" s="2">
        <v>1200</v>
      </c>
      <c r="H92" s="2">
        <v>4800</v>
      </c>
    </row>
    <row r="93" spans="1:8" x14ac:dyDescent="0.35">
      <c r="A93">
        <v>92</v>
      </c>
      <c r="B93" s="1">
        <v>44288</v>
      </c>
      <c r="C93" t="s">
        <v>21</v>
      </c>
      <c r="D93" t="s">
        <v>9</v>
      </c>
      <c r="E93" t="s">
        <v>10</v>
      </c>
      <c r="F93" s="2">
        <v>4</v>
      </c>
      <c r="G93" s="2">
        <v>300</v>
      </c>
      <c r="H93" s="2">
        <v>1200</v>
      </c>
    </row>
    <row r="94" spans="1:8" x14ac:dyDescent="0.35">
      <c r="A94">
        <v>93</v>
      </c>
      <c r="B94" s="1">
        <v>44289</v>
      </c>
      <c r="C94" t="s">
        <v>21</v>
      </c>
      <c r="D94" t="s">
        <v>20</v>
      </c>
      <c r="E94" t="s">
        <v>19</v>
      </c>
      <c r="F94" s="2">
        <v>5</v>
      </c>
      <c r="G94" s="2">
        <v>190</v>
      </c>
      <c r="H94" s="2">
        <v>950</v>
      </c>
    </row>
    <row r="95" spans="1:8" x14ac:dyDescent="0.35">
      <c r="A95">
        <v>94</v>
      </c>
      <c r="B95" s="1">
        <v>44290</v>
      </c>
      <c r="C95" t="s">
        <v>23</v>
      </c>
      <c r="D95" t="s">
        <v>9</v>
      </c>
      <c r="E95" t="s">
        <v>22</v>
      </c>
      <c r="F95" s="2">
        <v>7</v>
      </c>
      <c r="G95" s="2">
        <v>2100</v>
      </c>
      <c r="H95" s="2">
        <v>14700</v>
      </c>
    </row>
    <row r="96" spans="1:8" x14ac:dyDescent="0.35">
      <c r="A96">
        <v>95</v>
      </c>
      <c r="B96" s="1">
        <v>44291</v>
      </c>
      <c r="C96" t="s">
        <v>11</v>
      </c>
      <c r="D96" t="s">
        <v>20</v>
      </c>
      <c r="E96" t="s">
        <v>15</v>
      </c>
      <c r="F96" s="2">
        <v>2</v>
      </c>
      <c r="G96" s="2">
        <v>210</v>
      </c>
      <c r="H96" s="2">
        <v>420</v>
      </c>
    </row>
    <row r="97" spans="1:8" x14ac:dyDescent="0.35">
      <c r="A97">
        <v>96</v>
      </c>
      <c r="B97" s="1">
        <v>44292</v>
      </c>
      <c r="C97" t="s">
        <v>18</v>
      </c>
      <c r="D97" t="s">
        <v>9</v>
      </c>
      <c r="E97" t="s">
        <v>17</v>
      </c>
      <c r="F97" s="2">
        <v>4</v>
      </c>
      <c r="G97" s="2">
        <v>1200</v>
      </c>
      <c r="H97" s="2">
        <v>4800</v>
      </c>
    </row>
    <row r="98" spans="1:8" x14ac:dyDescent="0.35">
      <c r="A98">
        <v>97</v>
      </c>
      <c r="B98" s="1">
        <v>44293</v>
      </c>
      <c r="C98" t="s">
        <v>23</v>
      </c>
      <c r="D98" t="s">
        <v>9</v>
      </c>
      <c r="E98" t="s">
        <v>19</v>
      </c>
      <c r="F98" s="2">
        <v>7</v>
      </c>
      <c r="G98" s="2">
        <v>190</v>
      </c>
      <c r="H98" s="2">
        <v>1330</v>
      </c>
    </row>
    <row r="99" spans="1:8" x14ac:dyDescent="0.35">
      <c r="A99">
        <v>98</v>
      </c>
      <c r="B99" s="1">
        <v>44294</v>
      </c>
      <c r="C99" t="s">
        <v>18</v>
      </c>
      <c r="D99" t="s">
        <v>12</v>
      </c>
      <c r="E99" t="s">
        <v>13</v>
      </c>
      <c r="F99" s="2">
        <v>5</v>
      </c>
      <c r="G99" s="2">
        <v>1500</v>
      </c>
      <c r="H99" s="2">
        <v>7500</v>
      </c>
    </row>
    <row r="100" spans="1:8" x14ac:dyDescent="0.35">
      <c r="A100">
        <v>99</v>
      </c>
      <c r="B100" s="1">
        <v>44295</v>
      </c>
      <c r="C100" t="s">
        <v>18</v>
      </c>
      <c r="D100" t="s">
        <v>12</v>
      </c>
      <c r="E100" t="s">
        <v>22</v>
      </c>
      <c r="F100" s="2">
        <v>4</v>
      </c>
      <c r="G100" s="2">
        <v>2100</v>
      </c>
      <c r="H100" s="2">
        <v>8400</v>
      </c>
    </row>
    <row r="101" spans="1:8" x14ac:dyDescent="0.35">
      <c r="A101">
        <v>100</v>
      </c>
      <c r="B101" s="1">
        <v>44296</v>
      </c>
      <c r="C101" t="s">
        <v>16</v>
      </c>
      <c r="D101" t="s">
        <v>9</v>
      </c>
      <c r="E101" t="s">
        <v>13</v>
      </c>
      <c r="F101" s="2">
        <v>2</v>
      </c>
      <c r="G101" s="2">
        <v>1500</v>
      </c>
      <c r="H101" s="2">
        <v>3000</v>
      </c>
    </row>
    <row r="102" spans="1:8" x14ac:dyDescent="0.35">
      <c r="A102">
        <v>101</v>
      </c>
      <c r="B102" s="1">
        <v>44297</v>
      </c>
      <c r="C102" t="s">
        <v>8</v>
      </c>
      <c r="D102" t="s">
        <v>9</v>
      </c>
      <c r="E102" t="s">
        <v>10</v>
      </c>
      <c r="F102" s="2">
        <v>7</v>
      </c>
      <c r="G102" s="2">
        <v>300</v>
      </c>
      <c r="H102" s="2">
        <v>2100</v>
      </c>
    </row>
    <row r="103" spans="1:8" x14ac:dyDescent="0.35">
      <c r="A103">
        <v>102</v>
      </c>
      <c r="B103" s="1">
        <v>44298</v>
      </c>
      <c r="C103" t="s">
        <v>8</v>
      </c>
      <c r="D103" t="s">
        <v>14</v>
      </c>
      <c r="E103" t="s">
        <v>19</v>
      </c>
      <c r="F103" s="2">
        <v>4</v>
      </c>
      <c r="G103" s="2">
        <v>190</v>
      </c>
      <c r="H103" s="2">
        <v>760</v>
      </c>
    </row>
    <row r="104" spans="1:8" x14ac:dyDescent="0.35">
      <c r="A104">
        <v>103</v>
      </c>
      <c r="B104" s="1">
        <v>44299</v>
      </c>
      <c r="C104" t="s">
        <v>23</v>
      </c>
      <c r="D104" t="s">
        <v>12</v>
      </c>
      <c r="E104" t="s">
        <v>13</v>
      </c>
      <c r="F104" s="2">
        <v>6</v>
      </c>
      <c r="G104" s="2">
        <v>1500</v>
      </c>
      <c r="H104" s="2">
        <v>9000</v>
      </c>
    </row>
    <row r="105" spans="1:8" x14ac:dyDescent="0.35">
      <c r="A105">
        <v>104</v>
      </c>
      <c r="B105" s="1">
        <v>44300</v>
      </c>
      <c r="C105" t="s">
        <v>11</v>
      </c>
      <c r="D105" t="s">
        <v>9</v>
      </c>
      <c r="E105" t="s">
        <v>17</v>
      </c>
      <c r="F105" s="2">
        <v>3</v>
      </c>
      <c r="G105" s="2">
        <v>1200</v>
      </c>
      <c r="H105" s="2">
        <v>3600</v>
      </c>
    </row>
    <row r="106" spans="1:8" x14ac:dyDescent="0.35">
      <c r="A106">
        <v>105</v>
      </c>
      <c r="B106" s="1">
        <v>44301</v>
      </c>
      <c r="C106" t="s">
        <v>23</v>
      </c>
      <c r="D106" t="s">
        <v>20</v>
      </c>
      <c r="E106" t="s">
        <v>10</v>
      </c>
      <c r="F106" s="2">
        <v>4</v>
      </c>
      <c r="G106" s="2">
        <v>300</v>
      </c>
      <c r="H106" s="2">
        <v>1200</v>
      </c>
    </row>
    <row r="107" spans="1:8" x14ac:dyDescent="0.35">
      <c r="A107">
        <v>106</v>
      </c>
      <c r="B107" s="1">
        <v>44302</v>
      </c>
      <c r="C107" t="s">
        <v>21</v>
      </c>
      <c r="D107" t="s">
        <v>14</v>
      </c>
      <c r="E107" t="s">
        <v>19</v>
      </c>
      <c r="F107" s="2">
        <v>3</v>
      </c>
      <c r="G107" s="2">
        <v>190</v>
      </c>
      <c r="H107" s="2">
        <v>570</v>
      </c>
    </row>
    <row r="108" spans="1:8" x14ac:dyDescent="0.35">
      <c r="A108">
        <v>107</v>
      </c>
      <c r="B108" s="1">
        <v>44303</v>
      </c>
      <c r="C108" t="s">
        <v>8</v>
      </c>
      <c r="D108" t="s">
        <v>12</v>
      </c>
      <c r="E108" t="s">
        <v>15</v>
      </c>
      <c r="F108" s="2">
        <v>4</v>
      </c>
      <c r="G108" s="2">
        <v>210</v>
      </c>
      <c r="H108" s="2">
        <v>840</v>
      </c>
    </row>
    <row r="109" spans="1:8" x14ac:dyDescent="0.35">
      <c r="A109">
        <v>108</v>
      </c>
      <c r="B109" s="1">
        <v>44304</v>
      </c>
      <c r="C109" t="s">
        <v>16</v>
      </c>
      <c r="D109" t="s">
        <v>20</v>
      </c>
      <c r="E109" t="s">
        <v>10</v>
      </c>
      <c r="F109" s="2">
        <v>5</v>
      </c>
      <c r="G109" s="2">
        <v>300</v>
      </c>
      <c r="H109" s="2">
        <v>1500</v>
      </c>
    </row>
    <row r="110" spans="1:8" x14ac:dyDescent="0.35">
      <c r="A110">
        <v>109</v>
      </c>
      <c r="B110" s="1">
        <v>44305</v>
      </c>
      <c r="C110" t="s">
        <v>8</v>
      </c>
      <c r="D110" t="s">
        <v>9</v>
      </c>
      <c r="E110" t="s">
        <v>22</v>
      </c>
      <c r="F110" s="2">
        <v>3</v>
      </c>
      <c r="G110" s="2">
        <v>2100</v>
      </c>
      <c r="H110" s="2">
        <v>6300</v>
      </c>
    </row>
    <row r="111" spans="1:8" x14ac:dyDescent="0.35">
      <c r="A111">
        <v>110</v>
      </c>
      <c r="B111" s="1">
        <v>44306</v>
      </c>
      <c r="C111" t="s">
        <v>21</v>
      </c>
      <c r="D111" t="s">
        <v>20</v>
      </c>
      <c r="E111" t="s">
        <v>19</v>
      </c>
      <c r="F111" s="2">
        <v>4</v>
      </c>
      <c r="G111" s="2">
        <v>190</v>
      </c>
      <c r="H111" s="2">
        <v>760</v>
      </c>
    </row>
    <row r="112" spans="1:8" x14ac:dyDescent="0.35">
      <c r="A112">
        <v>111</v>
      </c>
      <c r="B112" s="1">
        <v>44307</v>
      </c>
      <c r="C112" t="s">
        <v>21</v>
      </c>
      <c r="D112" t="s">
        <v>14</v>
      </c>
      <c r="E112" t="s">
        <v>10</v>
      </c>
      <c r="F112" s="2">
        <v>7</v>
      </c>
      <c r="G112" s="2">
        <v>300</v>
      </c>
      <c r="H112" s="2">
        <v>2100</v>
      </c>
    </row>
    <row r="113" spans="1:8" x14ac:dyDescent="0.35">
      <c r="A113">
        <v>112</v>
      </c>
      <c r="B113" s="1">
        <v>44308</v>
      </c>
      <c r="C113" t="s">
        <v>8</v>
      </c>
      <c r="D113" t="s">
        <v>20</v>
      </c>
      <c r="E113" t="s">
        <v>15</v>
      </c>
      <c r="F113" s="2">
        <v>7</v>
      </c>
      <c r="G113" s="2">
        <v>210</v>
      </c>
      <c r="H113" s="2">
        <v>1470</v>
      </c>
    </row>
    <row r="114" spans="1:8" x14ac:dyDescent="0.35">
      <c r="A114">
        <v>113</v>
      </c>
      <c r="B114" s="1">
        <v>44309</v>
      </c>
      <c r="C114" t="s">
        <v>8</v>
      </c>
      <c r="D114" t="s">
        <v>14</v>
      </c>
      <c r="E114" t="s">
        <v>15</v>
      </c>
      <c r="F114" s="2">
        <v>4</v>
      </c>
      <c r="G114" s="2">
        <v>210</v>
      </c>
      <c r="H114" s="2">
        <v>840</v>
      </c>
    </row>
    <row r="115" spans="1:8" x14ac:dyDescent="0.35">
      <c r="A115">
        <v>114</v>
      </c>
      <c r="B115" s="1">
        <v>44310</v>
      </c>
      <c r="C115" t="s">
        <v>21</v>
      </c>
      <c r="D115" t="s">
        <v>14</v>
      </c>
      <c r="E115" t="s">
        <v>17</v>
      </c>
      <c r="F115" s="2">
        <v>7</v>
      </c>
      <c r="G115" s="2">
        <v>1200</v>
      </c>
      <c r="H115" s="2">
        <v>8400</v>
      </c>
    </row>
    <row r="116" spans="1:8" x14ac:dyDescent="0.35">
      <c r="A116">
        <v>115</v>
      </c>
      <c r="B116" s="1">
        <v>44311</v>
      </c>
      <c r="C116" t="s">
        <v>18</v>
      </c>
      <c r="D116" t="s">
        <v>9</v>
      </c>
      <c r="E116" t="s">
        <v>17</v>
      </c>
      <c r="F116" s="2">
        <v>7</v>
      </c>
      <c r="G116" s="2">
        <v>1200</v>
      </c>
      <c r="H116" s="2">
        <v>8400</v>
      </c>
    </row>
    <row r="117" spans="1:8" x14ac:dyDescent="0.35">
      <c r="A117">
        <v>116</v>
      </c>
      <c r="B117" s="1">
        <v>44312</v>
      </c>
      <c r="C117" t="s">
        <v>8</v>
      </c>
      <c r="D117" t="s">
        <v>12</v>
      </c>
      <c r="E117" t="s">
        <v>17</v>
      </c>
      <c r="F117" s="2">
        <v>5</v>
      </c>
      <c r="G117" s="2">
        <v>1200</v>
      </c>
      <c r="H117" s="2">
        <v>6000</v>
      </c>
    </row>
    <row r="118" spans="1:8" x14ac:dyDescent="0.35">
      <c r="A118">
        <v>117</v>
      </c>
      <c r="B118" s="1">
        <v>44313</v>
      </c>
      <c r="C118" t="s">
        <v>18</v>
      </c>
      <c r="D118" t="s">
        <v>9</v>
      </c>
      <c r="E118" t="s">
        <v>10</v>
      </c>
      <c r="F118" s="2">
        <v>7</v>
      </c>
      <c r="G118" s="2">
        <v>300</v>
      </c>
      <c r="H118" s="2">
        <v>2100</v>
      </c>
    </row>
    <row r="119" spans="1:8" x14ac:dyDescent="0.35">
      <c r="A119">
        <v>118</v>
      </c>
      <c r="B119" s="1">
        <v>44314</v>
      </c>
      <c r="C119" t="s">
        <v>11</v>
      </c>
      <c r="D119" t="s">
        <v>20</v>
      </c>
      <c r="E119" t="s">
        <v>10</v>
      </c>
      <c r="F119" s="2">
        <v>3</v>
      </c>
      <c r="G119" s="2">
        <v>300</v>
      </c>
      <c r="H119" s="2">
        <v>900</v>
      </c>
    </row>
    <row r="120" spans="1:8" x14ac:dyDescent="0.35">
      <c r="A120">
        <v>119</v>
      </c>
      <c r="B120" s="1">
        <v>44315</v>
      </c>
      <c r="C120" t="s">
        <v>21</v>
      </c>
      <c r="D120" t="s">
        <v>14</v>
      </c>
      <c r="E120" t="s">
        <v>19</v>
      </c>
      <c r="F120" s="2">
        <v>3</v>
      </c>
      <c r="G120" s="2">
        <v>190</v>
      </c>
      <c r="H120" s="2">
        <v>570</v>
      </c>
    </row>
    <row r="121" spans="1:8" x14ac:dyDescent="0.35">
      <c r="A121">
        <v>120</v>
      </c>
      <c r="B121" s="1">
        <v>44316</v>
      </c>
      <c r="C121" t="s">
        <v>16</v>
      </c>
      <c r="D121" t="s">
        <v>12</v>
      </c>
      <c r="E121" t="s">
        <v>13</v>
      </c>
      <c r="F121" s="2">
        <v>3</v>
      </c>
      <c r="G121" s="2">
        <v>1500</v>
      </c>
      <c r="H121" s="2">
        <v>4500</v>
      </c>
    </row>
    <row r="122" spans="1:8" x14ac:dyDescent="0.35">
      <c r="A122">
        <v>121</v>
      </c>
      <c r="B122" s="1">
        <v>44317</v>
      </c>
      <c r="C122" t="s">
        <v>21</v>
      </c>
      <c r="D122" t="s">
        <v>20</v>
      </c>
      <c r="E122" t="s">
        <v>19</v>
      </c>
      <c r="F122" s="2">
        <v>7</v>
      </c>
      <c r="G122" s="2">
        <v>190</v>
      </c>
      <c r="H122" s="2">
        <v>1330</v>
      </c>
    </row>
    <row r="123" spans="1:8" x14ac:dyDescent="0.35">
      <c r="A123">
        <v>122</v>
      </c>
      <c r="B123" s="1">
        <v>44318</v>
      </c>
      <c r="C123" t="s">
        <v>18</v>
      </c>
      <c r="D123" t="s">
        <v>9</v>
      </c>
      <c r="E123" t="s">
        <v>13</v>
      </c>
      <c r="F123" s="2">
        <v>6</v>
      </c>
      <c r="G123" s="2">
        <v>1500</v>
      </c>
      <c r="H123" s="2">
        <v>9000</v>
      </c>
    </row>
    <row r="124" spans="1:8" x14ac:dyDescent="0.35">
      <c r="A124">
        <v>123</v>
      </c>
      <c r="B124" s="1">
        <v>44319</v>
      </c>
      <c r="C124" t="s">
        <v>21</v>
      </c>
      <c r="D124" t="s">
        <v>14</v>
      </c>
      <c r="E124" t="s">
        <v>22</v>
      </c>
      <c r="F124" s="2">
        <v>5</v>
      </c>
      <c r="G124" s="2">
        <v>2100</v>
      </c>
      <c r="H124" s="2">
        <v>10500</v>
      </c>
    </row>
    <row r="125" spans="1:8" x14ac:dyDescent="0.35">
      <c r="A125">
        <v>124</v>
      </c>
      <c r="B125" s="1">
        <v>44320</v>
      </c>
      <c r="C125" t="s">
        <v>8</v>
      </c>
      <c r="D125" t="s">
        <v>20</v>
      </c>
      <c r="E125" t="s">
        <v>22</v>
      </c>
      <c r="F125" s="2">
        <v>3</v>
      </c>
      <c r="G125" s="2">
        <v>2100</v>
      </c>
      <c r="H125" s="2">
        <v>6300</v>
      </c>
    </row>
    <row r="126" spans="1:8" x14ac:dyDescent="0.35">
      <c r="A126">
        <v>125</v>
      </c>
      <c r="B126" s="1">
        <v>44321</v>
      </c>
      <c r="C126" t="s">
        <v>16</v>
      </c>
      <c r="D126" t="s">
        <v>14</v>
      </c>
      <c r="E126" t="s">
        <v>19</v>
      </c>
      <c r="F126" s="2">
        <v>4</v>
      </c>
      <c r="G126" s="2">
        <v>190</v>
      </c>
      <c r="H126" s="2">
        <v>760</v>
      </c>
    </row>
    <row r="127" spans="1:8" x14ac:dyDescent="0.35">
      <c r="A127">
        <v>126</v>
      </c>
      <c r="B127" s="1">
        <v>44322</v>
      </c>
      <c r="C127" t="s">
        <v>23</v>
      </c>
      <c r="D127" t="s">
        <v>9</v>
      </c>
      <c r="E127" t="s">
        <v>13</v>
      </c>
      <c r="F127" s="2">
        <v>3</v>
      </c>
      <c r="G127" s="2">
        <v>1500</v>
      </c>
      <c r="H127" s="2">
        <v>4500</v>
      </c>
    </row>
    <row r="128" spans="1:8" x14ac:dyDescent="0.35">
      <c r="A128">
        <v>127</v>
      </c>
      <c r="B128" s="1">
        <v>44323</v>
      </c>
      <c r="C128" t="s">
        <v>16</v>
      </c>
      <c r="D128" t="s">
        <v>9</v>
      </c>
      <c r="E128" t="s">
        <v>10</v>
      </c>
      <c r="F128" s="2">
        <v>5</v>
      </c>
      <c r="G128" s="2">
        <v>300</v>
      </c>
      <c r="H128" s="2">
        <v>1500</v>
      </c>
    </row>
    <row r="129" spans="1:8" x14ac:dyDescent="0.35">
      <c r="A129">
        <v>128</v>
      </c>
      <c r="B129" s="1">
        <v>44324</v>
      </c>
      <c r="C129" t="s">
        <v>16</v>
      </c>
      <c r="D129" t="s">
        <v>9</v>
      </c>
      <c r="E129" t="s">
        <v>22</v>
      </c>
      <c r="F129" s="2">
        <v>4</v>
      </c>
      <c r="G129" s="2">
        <v>2100</v>
      </c>
      <c r="H129" s="2">
        <v>8400</v>
      </c>
    </row>
    <row r="130" spans="1:8" x14ac:dyDescent="0.35">
      <c r="A130">
        <v>129</v>
      </c>
      <c r="B130" s="1">
        <v>44325</v>
      </c>
      <c r="C130" t="s">
        <v>11</v>
      </c>
      <c r="D130" t="s">
        <v>12</v>
      </c>
      <c r="E130" t="s">
        <v>17</v>
      </c>
      <c r="F130" s="2">
        <v>2</v>
      </c>
      <c r="G130" s="2">
        <v>1200</v>
      </c>
      <c r="H130" s="2">
        <v>2400</v>
      </c>
    </row>
    <row r="131" spans="1:8" x14ac:dyDescent="0.35">
      <c r="A131">
        <v>130</v>
      </c>
      <c r="B131" s="1">
        <v>44326</v>
      </c>
      <c r="C131" t="s">
        <v>8</v>
      </c>
      <c r="D131" t="s">
        <v>20</v>
      </c>
      <c r="E131" t="s">
        <v>13</v>
      </c>
      <c r="F131" s="2">
        <v>5</v>
      </c>
      <c r="G131" s="2">
        <v>1500</v>
      </c>
      <c r="H131" s="2">
        <v>7500</v>
      </c>
    </row>
    <row r="132" spans="1:8" x14ac:dyDescent="0.35">
      <c r="A132">
        <v>131</v>
      </c>
      <c r="B132" s="1">
        <v>44327</v>
      </c>
      <c r="C132" t="s">
        <v>8</v>
      </c>
      <c r="D132" t="s">
        <v>20</v>
      </c>
      <c r="E132" t="s">
        <v>22</v>
      </c>
      <c r="F132" s="2">
        <v>6</v>
      </c>
      <c r="G132" s="2">
        <v>2100</v>
      </c>
      <c r="H132" s="2">
        <v>12600</v>
      </c>
    </row>
    <row r="133" spans="1:8" x14ac:dyDescent="0.35">
      <c r="A133">
        <v>132</v>
      </c>
      <c r="B133" s="1">
        <v>44328</v>
      </c>
      <c r="C133" t="s">
        <v>21</v>
      </c>
      <c r="D133" t="s">
        <v>14</v>
      </c>
      <c r="E133" t="s">
        <v>15</v>
      </c>
      <c r="F133" s="2">
        <v>5</v>
      </c>
      <c r="G133" s="2">
        <v>210</v>
      </c>
      <c r="H133" s="2">
        <v>1050</v>
      </c>
    </row>
    <row r="134" spans="1:8" x14ac:dyDescent="0.35">
      <c r="A134">
        <v>133</v>
      </c>
      <c r="B134" s="1">
        <v>44329</v>
      </c>
      <c r="C134" t="s">
        <v>8</v>
      </c>
      <c r="D134" t="s">
        <v>14</v>
      </c>
      <c r="E134" t="s">
        <v>22</v>
      </c>
      <c r="F134" s="2">
        <v>4</v>
      </c>
      <c r="G134" s="2">
        <v>2100</v>
      </c>
      <c r="H134" s="2">
        <v>8400</v>
      </c>
    </row>
    <row r="135" spans="1:8" x14ac:dyDescent="0.35">
      <c r="A135">
        <v>134</v>
      </c>
      <c r="B135" s="1">
        <v>44330</v>
      </c>
      <c r="C135" t="s">
        <v>16</v>
      </c>
      <c r="D135" t="s">
        <v>9</v>
      </c>
      <c r="E135" t="s">
        <v>15</v>
      </c>
      <c r="F135" s="2">
        <v>4</v>
      </c>
      <c r="G135" s="2">
        <v>210</v>
      </c>
      <c r="H135" s="2">
        <v>840</v>
      </c>
    </row>
    <row r="136" spans="1:8" x14ac:dyDescent="0.35">
      <c r="A136">
        <v>135</v>
      </c>
      <c r="B136" s="1">
        <v>44331</v>
      </c>
      <c r="C136" t="s">
        <v>23</v>
      </c>
      <c r="D136" t="s">
        <v>12</v>
      </c>
      <c r="E136" t="s">
        <v>19</v>
      </c>
      <c r="F136" s="2">
        <v>4</v>
      </c>
      <c r="G136" s="2">
        <v>190</v>
      </c>
      <c r="H136" s="2">
        <v>760</v>
      </c>
    </row>
    <row r="137" spans="1:8" x14ac:dyDescent="0.35">
      <c r="A137">
        <v>136</v>
      </c>
      <c r="B137" s="1">
        <v>44332</v>
      </c>
      <c r="C137" t="s">
        <v>23</v>
      </c>
      <c r="D137" t="s">
        <v>9</v>
      </c>
      <c r="E137" t="s">
        <v>10</v>
      </c>
      <c r="F137" s="2">
        <v>5</v>
      </c>
      <c r="G137" s="2">
        <v>300</v>
      </c>
      <c r="H137" s="2">
        <v>1500</v>
      </c>
    </row>
    <row r="138" spans="1:8" x14ac:dyDescent="0.35">
      <c r="A138">
        <v>137</v>
      </c>
      <c r="B138" s="1">
        <v>44333</v>
      </c>
      <c r="C138" t="s">
        <v>8</v>
      </c>
      <c r="D138" t="s">
        <v>9</v>
      </c>
      <c r="E138" t="s">
        <v>13</v>
      </c>
      <c r="F138" s="2">
        <v>3</v>
      </c>
      <c r="G138" s="2">
        <v>1500</v>
      </c>
      <c r="H138" s="2">
        <v>4500</v>
      </c>
    </row>
    <row r="139" spans="1:8" x14ac:dyDescent="0.35">
      <c r="A139">
        <v>138</v>
      </c>
      <c r="B139" s="1">
        <v>44334</v>
      </c>
      <c r="C139" t="s">
        <v>23</v>
      </c>
      <c r="D139" t="s">
        <v>9</v>
      </c>
      <c r="E139" t="s">
        <v>17</v>
      </c>
      <c r="F139" s="2">
        <v>2</v>
      </c>
      <c r="G139" s="2">
        <v>1200</v>
      </c>
      <c r="H139" s="2">
        <v>2400</v>
      </c>
    </row>
    <row r="140" spans="1:8" x14ac:dyDescent="0.35">
      <c r="A140">
        <v>139</v>
      </c>
      <c r="B140" s="1">
        <v>44335</v>
      </c>
      <c r="C140" t="s">
        <v>16</v>
      </c>
      <c r="D140" t="s">
        <v>9</v>
      </c>
      <c r="E140" t="s">
        <v>10</v>
      </c>
      <c r="F140" s="2">
        <v>7</v>
      </c>
      <c r="G140" s="2">
        <v>300</v>
      </c>
      <c r="H140" s="2">
        <v>2100</v>
      </c>
    </row>
    <row r="141" spans="1:8" x14ac:dyDescent="0.35">
      <c r="A141">
        <v>140</v>
      </c>
      <c r="B141" s="1">
        <v>44336</v>
      </c>
      <c r="C141" t="s">
        <v>18</v>
      </c>
      <c r="D141" t="s">
        <v>20</v>
      </c>
      <c r="E141" t="s">
        <v>19</v>
      </c>
      <c r="F141" s="2">
        <v>6</v>
      </c>
      <c r="G141" s="2">
        <v>190</v>
      </c>
      <c r="H141" s="2">
        <v>1140</v>
      </c>
    </row>
    <row r="142" spans="1:8" x14ac:dyDescent="0.35">
      <c r="A142">
        <v>141</v>
      </c>
      <c r="B142" s="1">
        <v>44337</v>
      </c>
      <c r="C142" t="s">
        <v>11</v>
      </c>
      <c r="D142" t="s">
        <v>14</v>
      </c>
      <c r="E142" t="s">
        <v>10</v>
      </c>
      <c r="F142" s="2">
        <v>2</v>
      </c>
      <c r="G142" s="2">
        <v>300</v>
      </c>
      <c r="H142" s="2">
        <v>600</v>
      </c>
    </row>
    <row r="143" spans="1:8" x14ac:dyDescent="0.35">
      <c r="A143">
        <v>142</v>
      </c>
      <c r="B143" s="1">
        <v>44338</v>
      </c>
      <c r="C143" t="s">
        <v>8</v>
      </c>
      <c r="D143" t="s">
        <v>12</v>
      </c>
      <c r="E143" t="s">
        <v>17</v>
      </c>
      <c r="F143" s="2">
        <v>4</v>
      </c>
      <c r="G143" s="2">
        <v>1200</v>
      </c>
      <c r="H143" s="2">
        <v>4800</v>
      </c>
    </row>
    <row r="144" spans="1:8" x14ac:dyDescent="0.35">
      <c r="A144">
        <v>143</v>
      </c>
      <c r="B144" s="1">
        <v>44339</v>
      </c>
      <c r="C144" t="s">
        <v>21</v>
      </c>
      <c r="D144" t="s">
        <v>12</v>
      </c>
      <c r="E144" t="s">
        <v>13</v>
      </c>
      <c r="F144" s="2">
        <v>7</v>
      </c>
      <c r="G144" s="2">
        <v>1500</v>
      </c>
      <c r="H144" s="2">
        <v>10500</v>
      </c>
    </row>
    <row r="145" spans="1:8" x14ac:dyDescent="0.35">
      <c r="A145">
        <v>144</v>
      </c>
      <c r="B145" s="1">
        <v>44340</v>
      </c>
      <c r="C145" t="s">
        <v>21</v>
      </c>
      <c r="D145" t="s">
        <v>12</v>
      </c>
      <c r="E145" t="s">
        <v>15</v>
      </c>
      <c r="F145" s="2">
        <v>5</v>
      </c>
      <c r="G145" s="2">
        <v>210</v>
      </c>
      <c r="H145" s="2">
        <v>1050</v>
      </c>
    </row>
    <row r="146" spans="1:8" x14ac:dyDescent="0.35">
      <c r="A146">
        <v>145</v>
      </c>
      <c r="B146" s="1">
        <v>44341</v>
      </c>
      <c r="C146" t="s">
        <v>18</v>
      </c>
      <c r="D146" t="s">
        <v>9</v>
      </c>
      <c r="E146" t="s">
        <v>15</v>
      </c>
      <c r="F146" s="2">
        <v>7</v>
      </c>
      <c r="G146" s="2">
        <v>210</v>
      </c>
      <c r="H146" s="2">
        <v>1470</v>
      </c>
    </row>
    <row r="147" spans="1:8" x14ac:dyDescent="0.35">
      <c r="A147">
        <v>146</v>
      </c>
      <c r="B147" s="1">
        <v>44342</v>
      </c>
      <c r="C147" t="s">
        <v>11</v>
      </c>
      <c r="D147" t="s">
        <v>20</v>
      </c>
      <c r="E147" t="s">
        <v>15</v>
      </c>
      <c r="F147" s="2">
        <v>7</v>
      </c>
      <c r="G147" s="2">
        <v>210</v>
      </c>
      <c r="H147" s="2">
        <v>1470</v>
      </c>
    </row>
    <row r="148" spans="1:8" x14ac:dyDescent="0.35">
      <c r="A148">
        <v>147</v>
      </c>
      <c r="B148" s="1">
        <v>44343</v>
      </c>
      <c r="C148" t="s">
        <v>23</v>
      </c>
      <c r="D148" t="s">
        <v>20</v>
      </c>
      <c r="E148" t="s">
        <v>13</v>
      </c>
      <c r="F148" s="2">
        <v>3</v>
      </c>
      <c r="G148" s="2">
        <v>1500</v>
      </c>
      <c r="H148" s="2">
        <v>4500</v>
      </c>
    </row>
    <row r="149" spans="1:8" x14ac:dyDescent="0.35">
      <c r="A149">
        <v>148</v>
      </c>
      <c r="B149" s="1">
        <v>44344</v>
      </c>
      <c r="C149" t="s">
        <v>8</v>
      </c>
      <c r="D149" t="s">
        <v>9</v>
      </c>
      <c r="E149" t="s">
        <v>10</v>
      </c>
      <c r="F149" s="2">
        <v>7</v>
      </c>
      <c r="G149" s="2">
        <v>300</v>
      </c>
      <c r="H149" s="2">
        <v>2100</v>
      </c>
    </row>
    <row r="150" spans="1:8" x14ac:dyDescent="0.35">
      <c r="A150">
        <v>149</v>
      </c>
      <c r="B150" s="1">
        <v>44345</v>
      </c>
      <c r="C150" t="s">
        <v>23</v>
      </c>
      <c r="D150" t="s">
        <v>12</v>
      </c>
      <c r="E150" t="s">
        <v>13</v>
      </c>
      <c r="F150" s="2">
        <v>2</v>
      </c>
      <c r="G150" s="2">
        <v>1500</v>
      </c>
      <c r="H150" s="2">
        <v>3000</v>
      </c>
    </row>
    <row r="151" spans="1:8" x14ac:dyDescent="0.35">
      <c r="A151">
        <v>150</v>
      </c>
      <c r="B151" s="1">
        <v>44346</v>
      </c>
      <c r="C151" t="s">
        <v>16</v>
      </c>
      <c r="D151" t="s">
        <v>9</v>
      </c>
      <c r="E151" t="s">
        <v>10</v>
      </c>
      <c r="F151" s="2">
        <v>2</v>
      </c>
      <c r="G151" s="2">
        <v>300</v>
      </c>
      <c r="H151" s="2">
        <v>600</v>
      </c>
    </row>
    <row r="152" spans="1:8" x14ac:dyDescent="0.35">
      <c r="A152">
        <v>151</v>
      </c>
      <c r="B152" s="1">
        <v>44347</v>
      </c>
      <c r="C152" t="s">
        <v>8</v>
      </c>
      <c r="D152" t="s">
        <v>14</v>
      </c>
      <c r="E152" t="s">
        <v>15</v>
      </c>
      <c r="F152" s="2">
        <v>3</v>
      </c>
      <c r="G152" s="2">
        <v>210</v>
      </c>
      <c r="H152" s="2">
        <v>630</v>
      </c>
    </row>
    <row r="153" spans="1:8" x14ac:dyDescent="0.35">
      <c r="A153">
        <v>152</v>
      </c>
      <c r="B153" s="1">
        <v>44348</v>
      </c>
      <c r="C153" t="s">
        <v>18</v>
      </c>
      <c r="D153" t="s">
        <v>14</v>
      </c>
      <c r="E153" t="s">
        <v>15</v>
      </c>
      <c r="F153" s="2">
        <v>7</v>
      </c>
      <c r="G153" s="2">
        <v>210</v>
      </c>
      <c r="H153" s="2">
        <v>1470</v>
      </c>
    </row>
    <row r="154" spans="1:8" x14ac:dyDescent="0.35">
      <c r="A154">
        <v>153</v>
      </c>
      <c r="B154" s="1">
        <v>44349</v>
      </c>
      <c r="C154" t="s">
        <v>18</v>
      </c>
      <c r="D154" t="s">
        <v>20</v>
      </c>
      <c r="E154" t="s">
        <v>10</v>
      </c>
      <c r="F154" s="2">
        <v>4</v>
      </c>
      <c r="G154" s="2">
        <v>300</v>
      </c>
      <c r="H154" s="2">
        <v>1200</v>
      </c>
    </row>
    <row r="155" spans="1:8" x14ac:dyDescent="0.35">
      <c r="A155">
        <v>154</v>
      </c>
      <c r="B155" s="1">
        <v>44350</v>
      </c>
      <c r="C155" t="s">
        <v>21</v>
      </c>
      <c r="D155" t="s">
        <v>12</v>
      </c>
      <c r="E155" t="s">
        <v>17</v>
      </c>
      <c r="F155" s="2">
        <v>6</v>
      </c>
      <c r="G155" s="2">
        <v>1200</v>
      </c>
      <c r="H155" s="2">
        <v>7200</v>
      </c>
    </row>
    <row r="156" spans="1:8" x14ac:dyDescent="0.35">
      <c r="A156">
        <v>155</v>
      </c>
      <c r="B156" s="1">
        <v>44351</v>
      </c>
      <c r="C156" t="s">
        <v>8</v>
      </c>
      <c r="D156" t="s">
        <v>12</v>
      </c>
      <c r="E156" t="s">
        <v>10</v>
      </c>
      <c r="F156" s="2">
        <v>6</v>
      </c>
      <c r="G156" s="2">
        <v>300</v>
      </c>
      <c r="H156" s="2">
        <v>1800</v>
      </c>
    </row>
    <row r="157" spans="1:8" x14ac:dyDescent="0.35">
      <c r="A157">
        <v>156</v>
      </c>
      <c r="B157" s="1">
        <v>44352</v>
      </c>
      <c r="C157" t="s">
        <v>16</v>
      </c>
      <c r="D157" t="s">
        <v>9</v>
      </c>
      <c r="E157" t="s">
        <v>17</v>
      </c>
      <c r="F157" s="2">
        <v>6</v>
      </c>
      <c r="G157" s="2">
        <v>1200</v>
      </c>
      <c r="H157" s="2">
        <v>7200</v>
      </c>
    </row>
    <row r="158" spans="1:8" x14ac:dyDescent="0.35">
      <c r="A158">
        <v>157</v>
      </c>
      <c r="B158" s="1">
        <v>44353</v>
      </c>
      <c r="C158" t="s">
        <v>16</v>
      </c>
      <c r="D158" t="s">
        <v>20</v>
      </c>
      <c r="E158" t="s">
        <v>17</v>
      </c>
      <c r="F158" s="2">
        <v>5</v>
      </c>
      <c r="G158" s="2">
        <v>1200</v>
      </c>
      <c r="H158" s="2">
        <v>6000</v>
      </c>
    </row>
    <row r="159" spans="1:8" x14ac:dyDescent="0.35">
      <c r="A159">
        <v>158</v>
      </c>
      <c r="B159" s="1">
        <v>44354</v>
      </c>
      <c r="C159" t="s">
        <v>16</v>
      </c>
      <c r="D159" t="s">
        <v>9</v>
      </c>
      <c r="E159" t="s">
        <v>10</v>
      </c>
      <c r="F159" s="2">
        <v>7</v>
      </c>
      <c r="G159" s="2">
        <v>300</v>
      </c>
      <c r="H159" s="2">
        <v>2100</v>
      </c>
    </row>
    <row r="160" spans="1:8" x14ac:dyDescent="0.35">
      <c r="A160">
        <v>159</v>
      </c>
      <c r="B160" s="1">
        <v>44355</v>
      </c>
      <c r="C160" t="s">
        <v>16</v>
      </c>
      <c r="D160" t="s">
        <v>20</v>
      </c>
      <c r="E160" t="s">
        <v>17</v>
      </c>
      <c r="F160" s="2">
        <v>6</v>
      </c>
      <c r="G160" s="2">
        <v>1200</v>
      </c>
      <c r="H160" s="2">
        <v>7200</v>
      </c>
    </row>
    <row r="161" spans="1:8" x14ac:dyDescent="0.35">
      <c r="A161">
        <v>160</v>
      </c>
      <c r="B161" s="1">
        <v>44356</v>
      </c>
      <c r="C161" t="s">
        <v>21</v>
      </c>
      <c r="D161" t="s">
        <v>9</v>
      </c>
      <c r="E161" t="s">
        <v>22</v>
      </c>
      <c r="F161" s="2">
        <v>6</v>
      </c>
      <c r="G161" s="2">
        <v>2100</v>
      </c>
      <c r="H161" s="2">
        <v>12600</v>
      </c>
    </row>
    <row r="162" spans="1:8" x14ac:dyDescent="0.35">
      <c r="A162">
        <v>161</v>
      </c>
      <c r="B162" s="1">
        <v>44357</v>
      </c>
      <c r="C162" t="s">
        <v>11</v>
      </c>
      <c r="D162" t="s">
        <v>14</v>
      </c>
      <c r="E162" t="s">
        <v>22</v>
      </c>
      <c r="F162" s="2">
        <v>6</v>
      </c>
      <c r="G162" s="2">
        <v>2100</v>
      </c>
      <c r="H162" s="2">
        <v>12600</v>
      </c>
    </row>
    <row r="163" spans="1:8" x14ac:dyDescent="0.35">
      <c r="A163">
        <v>162</v>
      </c>
      <c r="B163" s="1">
        <v>44358</v>
      </c>
      <c r="C163" t="s">
        <v>23</v>
      </c>
      <c r="D163" t="s">
        <v>20</v>
      </c>
      <c r="E163" t="s">
        <v>13</v>
      </c>
      <c r="F163" s="2">
        <v>7</v>
      </c>
      <c r="G163" s="2">
        <v>1500</v>
      </c>
      <c r="H163" s="2">
        <v>10500</v>
      </c>
    </row>
    <row r="164" spans="1:8" x14ac:dyDescent="0.35">
      <c r="A164">
        <v>163</v>
      </c>
      <c r="B164" s="1">
        <v>44359</v>
      </c>
      <c r="C164" t="s">
        <v>23</v>
      </c>
      <c r="D164" t="s">
        <v>14</v>
      </c>
      <c r="E164" t="s">
        <v>17</v>
      </c>
      <c r="F164" s="2">
        <v>3</v>
      </c>
      <c r="G164" s="2">
        <v>1200</v>
      </c>
      <c r="H164" s="2">
        <v>3600</v>
      </c>
    </row>
    <row r="165" spans="1:8" x14ac:dyDescent="0.35">
      <c r="A165">
        <v>164</v>
      </c>
      <c r="B165" s="1">
        <v>44360</v>
      </c>
      <c r="C165" t="s">
        <v>18</v>
      </c>
      <c r="D165" t="s">
        <v>9</v>
      </c>
      <c r="E165" t="s">
        <v>15</v>
      </c>
      <c r="F165" s="2">
        <v>6</v>
      </c>
      <c r="G165" s="2">
        <v>210</v>
      </c>
      <c r="H165" s="2">
        <v>1260</v>
      </c>
    </row>
    <row r="166" spans="1:8" x14ac:dyDescent="0.35">
      <c r="A166">
        <v>165</v>
      </c>
      <c r="B166" s="1">
        <v>44361</v>
      </c>
      <c r="C166" t="s">
        <v>16</v>
      </c>
      <c r="D166" t="s">
        <v>9</v>
      </c>
      <c r="E166" t="s">
        <v>10</v>
      </c>
      <c r="F166" s="2">
        <v>2</v>
      </c>
      <c r="G166" s="2">
        <v>300</v>
      </c>
      <c r="H166" s="2">
        <v>600</v>
      </c>
    </row>
    <row r="167" spans="1:8" x14ac:dyDescent="0.35">
      <c r="A167">
        <v>166</v>
      </c>
      <c r="B167" s="1">
        <v>44362</v>
      </c>
      <c r="C167" t="s">
        <v>23</v>
      </c>
      <c r="D167" t="s">
        <v>9</v>
      </c>
      <c r="E167" t="s">
        <v>10</v>
      </c>
      <c r="F167" s="2">
        <v>3</v>
      </c>
      <c r="G167" s="2">
        <v>300</v>
      </c>
      <c r="H167" s="2">
        <v>900</v>
      </c>
    </row>
    <row r="168" spans="1:8" x14ac:dyDescent="0.35">
      <c r="A168">
        <v>167</v>
      </c>
      <c r="B168" s="1">
        <v>44363</v>
      </c>
      <c r="C168" t="s">
        <v>18</v>
      </c>
      <c r="D168" t="s">
        <v>14</v>
      </c>
      <c r="E168" t="s">
        <v>19</v>
      </c>
      <c r="F168" s="2">
        <v>2</v>
      </c>
      <c r="G168" s="2">
        <v>190</v>
      </c>
      <c r="H168" s="2">
        <v>380</v>
      </c>
    </row>
    <row r="169" spans="1:8" x14ac:dyDescent="0.35">
      <c r="A169">
        <v>168</v>
      </c>
      <c r="B169" s="1">
        <v>44364</v>
      </c>
      <c r="C169" t="s">
        <v>8</v>
      </c>
      <c r="D169" t="s">
        <v>12</v>
      </c>
      <c r="E169" t="s">
        <v>19</v>
      </c>
      <c r="F169" s="2">
        <v>2</v>
      </c>
      <c r="G169" s="2">
        <v>190</v>
      </c>
      <c r="H169" s="2">
        <v>380</v>
      </c>
    </row>
    <row r="170" spans="1:8" x14ac:dyDescent="0.35">
      <c r="A170">
        <v>169</v>
      </c>
      <c r="B170" s="1">
        <v>44365</v>
      </c>
      <c r="C170" t="s">
        <v>8</v>
      </c>
      <c r="D170" t="s">
        <v>12</v>
      </c>
      <c r="E170" t="s">
        <v>19</v>
      </c>
      <c r="F170" s="2">
        <v>5</v>
      </c>
      <c r="G170" s="2">
        <v>190</v>
      </c>
      <c r="H170" s="2">
        <v>950</v>
      </c>
    </row>
    <row r="171" spans="1:8" x14ac:dyDescent="0.35">
      <c r="A171">
        <v>170</v>
      </c>
      <c r="B171" s="1">
        <v>44366</v>
      </c>
      <c r="C171" t="s">
        <v>18</v>
      </c>
      <c r="D171" t="s">
        <v>20</v>
      </c>
      <c r="E171" t="s">
        <v>17</v>
      </c>
      <c r="F171" s="2">
        <v>3</v>
      </c>
      <c r="G171" s="2">
        <v>1200</v>
      </c>
      <c r="H171" s="2">
        <v>3600</v>
      </c>
    </row>
    <row r="172" spans="1:8" x14ac:dyDescent="0.35">
      <c r="A172">
        <v>171</v>
      </c>
      <c r="B172" s="1">
        <v>44367</v>
      </c>
      <c r="C172" t="s">
        <v>16</v>
      </c>
      <c r="D172" t="s">
        <v>9</v>
      </c>
      <c r="E172" t="s">
        <v>19</v>
      </c>
      <c r="F172" s="2">
        <v>7</v>
      </c>
      <c r="G172" s="2">
        <v>190</v>
      </c>
      <c r="H172" s="2">
        <v>1330</v>
      </c>
    </row>
    <row r="173" spans="1:8" x14ac:dyDescent="0.35">
      <c r="A173">
        <v>172</v>
      </c>
      <c r="B173" s="1">
        <v>44368</v>
      </c>
      <c r="C173" t="s">
        <v>8</v>
      </c>
      <c r="D173" t="s">
        <v>12</v>
      </c>
      <c r="E173" t="s">
        <v>17</v>
      </c>
      <c r="F173" s="2">
        <v>7</v>
      </c>
      <c r="G173" s="2">
        <v>1200</v>
      </c>
      <c r="H173" s="2">
        <v>8400</v>
      </c>
    </row>
    <row r="174" spans="1:8" x14ac:dyDescent="0.35">
      <c r="A174">
        <v>173</v>
      </c>
      <c r="B174" s="1">
        <v>44369</v>
      </c>
      <c r="C174" t="s">
        <v>23</v>
      </c>
      <c r="D174" t="s">
        <v>12</v>
      </c>
      <c r="E174" t="s">
        <v>13</v>
      </c>
      <c r="F174" s="2">
        <v>6</v>
      </c>
      <c r="G174" s="2">
        <v>1500</v>
      </c>
      <c r="H174" s="2">
        <v>9000</v>
      </c>
    </row>
    <row r="175" spans="1:8" x14ac:dyDescent="0.35">
      <c r="A175">
        <v>174</v>
      </c>
      <c r="B175" s="1">
        <v>44370</v>
      </c>
      <c r="C175" t="s">
        <v>8</v>
      </c>
      <c r="D175" t="s">
        <v>9</v>
      </c>
      <c r="E175" t="s">
        <v>15</v>
      </c>
      <c r="F175" s="2">
        <v>6</v>
      </c>
      <c r="G175" s="2">
        <v>210</v>
      </c>
      <c r="H175" s="2">
        <v>1260</v>
      </c>
    </row>
    <row r="176" spans="1:8" x14ac:dyDescent="0.35">
      <c r="A176">
        <v>175</v>
      </c>
      <c r="B176" s="1">
        <v>44371</v>
      </c>
      <c r="C176" t="s">
        <v>8</v>
      </c>
      <c r="D176" t="s">
        <v>9</v>
      </c>
      <c r="E176" t="s">
        <v>15</v>
      </c>
      <c r="F176" s="2">
        <v>5</v>
      </c>
      <c r="G176" s="2">
        <v>210</v>
      </c>
      <c r="H176" s="2">
        <v>1050</v>
      </c>
    </row>
    <row r="177" spans="1:8" x14ac:dyDescent="0.35">
      <c r="A177">
        <v>176</v>
      </c>
      <c r="B177" s="1">
        <v>44372</v>
      </c>
      <c r="C177" t="s">
        <v>8</v>
      </c>
      <c r="D177" t="s">
        <v>20</v>
      </c>
      <c r="E177" t="s">
        <v>22</v>
      </c>
      <c r="F177" s="2">
        <v>2</v>
      </c>
      <c r="G177" s="2">
        <v>2100</v>
      </c>
      <c r="H177" s="2">
        <v>4200</v>
      </c>
    </row>
    <row r="178" spans="1:8" x14ac:dyDescent="0.35">
      <c r="A178">
        <v>177</v>
      </c>
      <c r="B178" s="1">
        <v>44373</v>
      </c>
      <c r="C178" t="s">
        <v>8</v>
      </c>
      <c r="D178" t="s">
        <v>14</v>
      </c>
      <c r="E178" t="s">
        <v>15</v>
      </c>
      <c r="F178" s="2">
        <v>3</v>
      </c>
      <c r="G178" s="2">
        <v>210</v>
      </c>
      <c r="H178" s="2">
        <v>630</v>
      </c>
    </row>
    <row r="179" spans="1:8" x14ac:dyDescent="0.35">
      <c r="A179">
        <v>178</v>
      </c>
      <c r="B179" s="1">
        <v>44374</v>
      </c>
      <c r="C179" t="s">
        <v>16</v>
      </c>
      <c r="D179" t="s">
        <v>12</v>
      </c>
      <c r="E179" t="s">
        <v>19</v>
      </c>
      <c r="F179" s="2">
        <v>5</v>
      </c>
      <c r="G179" s="2">
        <v>190</v>
      </c>
      <c r="H179" s="2">
        <v>950</v>
      </c>
    </row>
    <row r="180" spans="1:8" x14ac:dyDescent="0.35">
      <c r="A180">
        <v>179</v>
      </c>
      <c r="B180" s="1">
        <v>44375</v>
      </c>
      <c r="C180" t="s">
        <v>16</v>
      </c>
      <c r="D180" t="s">
        <v>20</v>
      </c>
      <c r="E180" t="s">
        <v>22</v>
      </c>
      <c r="F180" s="2">
        <v>7</v>
      </c>
      <c r="G180" s="2">
        <v>2100</v>
      </c>
      <c r="H180" s="2">
        <v>14700</v>
      </c>
    </row>
    <row r="181" spans="1:8" x14ac:dyDescent="0.35">
      <c r="A181">
        <v>180</v>
      </c>
      <c r="B181" s="1">
        <v>44376</v>
      </c>
      <c r="C181" t="s">
        <v>11</v>
      </c>
      <c r="D181" t="s">
        <v>20</v>
      </c>
      <c r="E181" t="s">
        <v>19</v>
      </c>
      <c r="F181" s="2">
        <v>6</v>
      </c>
      <c r="G181" s="2">
        <v>190</v>
      </c>
      <c r="H181" s="2">
        <v>1140</v>
      </c>
    </row>
    <row r="182" spans="1:8" x14ac:dyDescent="0.35">
      <c r="A182">
        <v>181</v>
      </c>
      <c r="B182" s="1">
        <v>44377</v>
      </c>
      <c r="C182" t="s">
        <v>11</v>
      </c>
      <c r="D182" t="s">
        <v>12</v>
      </c>
      <c r="E182" t="s">
        <v>13</v>
      </c>
      <c r="F182" s="2">
        <v>6</v>
      </c>
      <c r="G182" s="2">
        <v>1500</v>
      </c>
      <c r="H182" s="2">
        <v>9000</v>
      </c>
    </row>
    <row r="183" spans="1:8" x14ac:dyDescent="0.35">
      <c r="A183">
        <v>182</v>
      </c>
      <c r="B183" s="1">
        <v>44378</v>
      </c>
      <c r="C183" t="s">
        <v>8</v>
      </c>
      <c r="D183" t="s">
        <v>9</v>
      </c>
      <c r="E183" t="s">
        <v>19</v>
      </c>
      <c r="F183" s="2">
        <v>5</v>
      </c>
      <c r="G183" s="2">
        <v>190</v>
      </c>
      <c r="H183" s="2">
        <v>950</v>
      </c>
    </row>
    <row r="184" spans="1:8" x14ac:dyDescent="0.35">
      <c r="A184">
        <v>183</v>
      </c>
      <c r="B184" s="1">
        <v>44379</v>
      </c>
      <c r="C184" t="s">
        <v>16</v>
      </c>
      <c r="D184" t="s">
        <v>20</v>
      </c>
      <c r="E184" t="s">
        <v>10</v>
      </c>
      <c r="F184" s="2">
        <v>5</v>
      </c>
      <c r="G184" s="2">
        <v>300</v>
      </c>
      <c r="H184" s="2">
        <v>1500</v>
      </c>
    </row>
    <row r="185" spans="1:8" x14ac:dyDescent="0.35">
      <c r="A185">
        <v>184</v>
      </c>
      <c r="B185" s="1">
        <v>44380</v>
      </c>
      <c r="C185" t="s">
        <v>18</v>
      </c>
      <c r="D185" t="s">
        <v>9</v>
      </c>
      <c r="E185" t="s">
        <v>22</v>
      </c>
      <c r="F185" s="2">
        <v>7</v>
      </c>
      <c r="G185" s="2">
        <v>2100</v>
      </c>
      <c r="H185" s="2">
        <v>14700</v>
      </c>
    </row>
    <row r="186" spans="1:8" x14ac:dyDescent="0.35">
      <c r="A186">
        <v>185</v>
      </c>
      <c r="B186" s="1">
        <v>44381</v>
      </c>
      <c r="C186" t="s">
        <v>23</v>
      </c>
      <c r="D186" t="s">
        <v>12</v>
      </c>
      <c r="E186" t="s">
        <v>10</v>
      </c>
      <c r="F186" s="2">
        <v>2</v>
      </c>
      <c r="G186" s="2">
        <v>300</v>
      </c>
      <c r="H186" s="2">
        <v>600</v>
      </c>
    </row>
    <row r="187" spans="1:8" x14ac:dyDescent="0.35">
      <c r="A187">
        <v>186</v>
      </c>
      <c r="B187" s="1">
        <v>44382</v>
      </c>
      <c r="C187" t="s">
        <v>21</v>
      </c>
      <c r="D187" t="s">
        <v>9</v>
      </c>
      <c r="E187" t="s">
        <v>22</v>
      </c>
      <c r="F187" s="2">
        <v>6</v>
      </c>
      <c r="G187" s="2">
        <v>2100</v>
      </c>
      <c r="H187" s="2">
        <v>12600</v>
      </c>
    </row>
    <row r="188" spans="1:8" x14ac:dyDescent="0.35">
      <c r="A188">
        <v>187</v>
      </c>
      <c r="B188" s="1">
        <v>44383</v>
      </c>
      <c r="C188" t="s">
        <v>8</v>
      </c>
      <c r="D188" t="s">
        <v>20</v>
      </c>
      <c r="E188" t="s">
        <v>22</v>
      </c>
      <c r="F188" s="2">
        <v>6</v>
      </c>
      <c r="G188" s="2">
        <v>2100</v>
      </c>
      <c r="H188" s="2">
        <v>12600</v>
      </c>
    </row>
    <row r="189" spans="1:8" x14ac:dyDescent="0.35">
      <c r="A189">
        <v>188</v>
      </c>
      <c r="B189" s="1">
        <v>44384</v>
      </c>
      <c r="C189" t="s">
        <v>16</v>
      </c>
      <c r="D189" t="s">
        <v>12</v>
      </c>
      <c r="E189" t="s">
        <v>13</v>
      </c>
      <c r="F189" s="2">
        <v>3</v>
      </c>
      <c r="G189" s="2">
        <v>1500</v>
      </c>
      <c r="H189" s="2">
        <v>4500</v>
      </c>
    </row>
    <row r="190" spans="1:8" x14ac:dyDescent="0.35">
      <c r="A190">
        <v>189</v>
      </c>
      <c r="B190" s="1">
        <v>44385</v>
      </c>
      <c r="C190" t="s">
        <v>8</v>
      </c>
      <c r="D190" t="s">
        <v>14</v>
      </c>
      <c r="E190" t="s">
        <v>22</v>
      </c>
      <c r="F190" s="2">
        <v>3</v>
      </c>
      <c r="G190" s="2">
        <v>2100</v>
      </c>
      <c r="H190" s="2">
        <v>6300</v>
      </c>
    </row>
    <row r="191" spans="1:8" x14ac:dyDescent="0.35">
      <c r="A191">
        <v>190</v>
      </c>
      <c r="B191" s="1">
        <v>44386</v>
      </c>
      <c r="C191" t="s">
        <v>23</v>
      </c>
      <c r="D191" t="s">
        <v>12</v>
      </c>
      <c r="E191" t="s">
        <v>17</v>
      </c>
      <c r="F191" s="2">
        <v>6</v>
      </c>
      <c r="G191" s="2">
        <v>1200</v>
      </c>
      <c r="H191" s="2">
        <v>7200</v>
      </c>
    </row>
    <row r="192" spans="1:8" x14ac:dyDescent="0.35">
      <c r="A192">
        <v>191</v>
      </c>
      <c r="B192" s="1">
        <v>44387</v>
      </c>
      <c r="C192" t="s">
        <v>21</v>
      </c>
      <c r="D192" t="s">
        <v>14</v>
      </c>
      <c r="E192" t="s">
        <v>22</v>
      </c>
      <c r="F192" s="2">
        <v>5</v>
      </c>
      <c r="G192" s="2">
        <v>2100</v>
      </c>
      <c r="H192" s="2">
        <v>10500</v>
      </c>
    </row>
    <row r="193" spans="1:8" x14ac:dyDescent="0.35">
      <c r="A193">
        <v>192</v>
      </c>
      <c r="B193" s="1">
        <v>44388</v>
      </c>
      <c r="C193" t="s">
        <v>11</v>
      </c>
      <c r="D193" t="s">
        <v>20</v>
      </c>
      <c r="E193" t="s">
        <v>22</v>
      </c>
      <c r="F193" s="2">
        <v>7</v>
      </c>
      <c r="G193" s="2">
        <v>2100</v>
      </c>
      <c r="H193" s="2">
        <v>14700</v>
      </c>
    </row>
    <row r="194" spans="1:8" x14ac:dyDescent="0.35">
      <c r="A194">
        <v>193</v>
      </c>
      <c r="B194" s="1">
        <v>44389</v>
      </c>
      <c r="C194" t="s">
        <v>11</v>
      </c>
      <c r="D194" t="s">
        <v>20</v>
      </c>
      <c r="E194" t="s">
        <v>22</v>
      </c>
      <c r="F194" s="2">
        <v>7</v>
      </c>
      <c r="G194" s="2">
        <v>2100</v>
      </c>
      <c r="H194" s="2">
        <v>14700</v>
      </c>
    </row>
    <row r="195" spans="1:8" x14ac:dyDescent="0.35">
      <c r="A195">
        <v>194</v>
      </c>
      <c r="B195" s="1">
        <v>44390</v>
      </c>
      <c r="C195" t="s">
        <v>16</v>
      </c>
      <c r="D195" t="s">
        <v>20</v>
      </c>
      <c r="E195" t="s">
        <v>22</v>
      </c>
      <c r="F195" s="2">
        <v>2</v>
      </c>
      <c r="G195" s="2">
        <v>2100</v>
      </c>
      <c r="H195" s="2">
        <v>4200</v>
      </c>
    </row>
    <row r="196" spans="1:8" x14ac:dyDescent="0.35">
      <c r="A196">
        <v>195</v>
      </c>
      <c r="B196" s="1">
        <v>44391</v>
      </c>
      <c r="C196" t="s">
        <v>11</v>
      </c>
      <c r="D196" t="s">
        <v>20</v>
      </c>
      <c r="E196" t="s">
        <v>22</v>
      </c>
      <c r="F196" s="2">
        <v>2</v>
      </c>
      <c r="G196" s="2">
        <v>2100</v>
      </c>
      <c r="H196" s="2">
        <v>4200</v>
      </c>
    </row>
    <row r="197" spans="1:8" x14ac:dyDescent="0.35">
      <c r="A197">
        <v>196</v>
      </c>
      <c r="B197" s="1">
        <v>44392</v>
      </c>
      <c r="C197" t="s">
        <v>16</v>
      </c>
      <c r="D197" t="s">
        <v>14</v>
      </c>
      <c r="E197" t="s">
        <v>17</v>
      </c>
      <c r="F197" s="2">
        <v>3</v>
      </c>
      <c r="G197" s="2">
        <v>1200</v>
      </c>
      <c r="H197" s="2">
        <v>3600</v>
      </c>
    </row>
    <row r="198" spans="1:8" x14ac:dyDescent="0.35">
      <c r="A198">
        <v>197</v>
      </c>
      <c r="B198" s="1">
        <v>44393</v>
      </c>
      <c r="C198" t="s">
        <v>23</v>
      </c>
      <c r="D198" t="s">
        <v>20</v>
      </c>
      <c r="E198" t="s">
        <v>13</v>
      </c>
      <c r="F198" s="2">
        <v>7</v>
      </c>
      <c r="G198" s="2">
        <v>1500</v>
      </c>
      <c r="H198" s="2">
        <v>10500</v>
      </c>
    </row>
    <row r="199" spans="1:8" x14ac:dyDescent="0.35">
      <c r="A199">
        <v>198</v>
      </c>
      <c r="B199" s="1">
        <v>44394</v>
      </c>
      <c r="C199" t="s">
        <v>18</v>
      </c>
      <c r="D199" t="s">
        <v>14</v>
      </c>
      <c r="E199" t="s">
        <v>19</v>
      </c>
      <c r="F199" s="2">
        <v>3</v>
      </c>
      <c r="G199" s="2">
        <v>190</v>
      </c>
      <c r="H199" s="2">
        <v>570</v>
      </c>
    </row>
    <row r="200" spans="1:8" x14ac:dyDescent="0.35">
      <c r="A200">
        <v>199</v>
      </c>
      <c r="B200" s="1">
        <v>44395</v>
      </c>
      <c r="C200" t="s">
        <v>21</v>
      </c>
      <c r="D200" t="s">
        <v>20</v>
      </c>
      <c r="E200" t="s">
        <v>10</v>
      </c>
      <c r="F200" s="2">
        <v>3</v>
      </c>
      <c r="G200" s="2">
        <v>300</v>
      </c>
      <c r="H200" s="2">
        <v>900</v>
      </c>
    </row>
    <row r="201" spans="1:8" x14ac:dyDescent="0.35">
      <c r="A201">
        <v>200</v>
      </c>
      <c r="B201" s="1">
        <v>44396</v>
      </c>
      <c r="C201" t="s">
        <v>18</v>
      </c>
      <c r="D201" t="s">
        <v>12</v>
      </c>
      <c r="E201" t="s">
        <v>13</v>
      </c>
      <c r="F201" s="2">
        <v>6</v>
      </c>
      <c r="G201" s="2">
        <v>1500</v>
      </c>
      <c r="H201" s="2">
        <v>9000</v>
      </c>
    </row>
    <row r="202" spans="1:8" x14ac:dyDescent="0.35">
      <c r="A202">
        <v>201</v>
      </c>
      <c r="B202" s="1">
        <v>44397</v>
      </c>
      <c r="C202" t="s">
        <v>8</v>
      </c>
      <c r="D202" t="s">
        <v>14</v>
      </c>
      <c r="E202" t="s">
        <v>10</v>
      </c>
      <c r="F202" s="2">
        <v>2</v>
      </c>
      <c r="G202" s="2">
        <v>300</v>
      </c>
      <c r="H202" s="2">
        <v>600</v>
      </c>
    </row>
    <row r="203" spans="1:8" x14ac:dyDescent="0.35">
      <c r="A203">
        <v>202</v>
      </c>
      <c r="B203" s="1">
        <v>44398</v>
      </c>
      <c r="C203" t="s">
        <v>11</v>
      </c>
      <c r="D203" t="s">
        <v>14</v>
      </c>
      <c r="E203" t="s">
        <v>10</v>
      </c>
      <c r="F203" s="2">
        <v>6</v>
      </c>
      <c r="G203" s="2">
        <v>300</v>
      </c>
      <c r="H203" s="2">
        <v>1800</v>
      </c>
    </row>
    <row r="204" spans="1:8" x14ac:dyDescent="0.35">
      <c r="A204">
        <v>203</v>
      </c>
      <c r="B204" s="1">
        <v>44399</v>
      </c>
      <c r="C204" t="s">
        <v>18</v>
      </c>
      <c r="D204" t="s">
        <v>14</v>
      </c>
      <c r="E204" t="s">
        <v>22</v>
      </c>
      <c r="F204" s="2">
        <v>6</v>
      </c>
      <c r="G204" s="2">
        <v>2100</v>
      </c>
      <c r="H204" s="2">
        <v>12600</v>
      </c>
    </row>
    <row r="205" spans="1:8" x14ac:dyDescent="0.35">
      <c r="A205">
        <v>204</v>
      </c>
      <c r="B205" s="1">
        <v>44400</v>
      </c>
      <c r="C205" t="s">
        <v>16</v>
      </c>
      <c r="D205" t="s">
        <v>9</v>
      </c>
      <c r="E205" t="s">
        <v>17</v>
      </c>
      <c r="F205" s="2">
        <v>7</v>
      </c>
      <c r="G205" s="2">
        <v>1200</v>
      </c>
      <c r="H205" s="2">
        <v>8400</v>
      </c>
    </row>
    <row r="206" spans="1:8" x14ac:dyDescent="0.35">
      <c r="A206">
        <v>205</v>
      </c>
      <c r="B206" s="1">
        <v>44401</v>
      </c>
      <c r="C206" t="s">
        <v>18</v>
      </c>
      <c r="D206" t="s">
        <v>20</v>
      </c>
      <c r="E206" t="s">
        <v>19</v>
      </c>
      <c r="F206" s="2">
        <v>2</v>
      </c>
      <c r="G206" s="2">
        <v>190</v>
      </c>
      <c r="H206" s="2">
        <v>380</v>
      </c>
    </row>
    <row r="207" spans="1:8" x14ac:dyDescent="0.35">
      <c r="A207">
        <v>206</v>
      </c>
      <c r="B207" s="1">
        <v>44402</v>
      </c>
      <c r="C207" t="s">
        <v>18</v>
      </c>
      <c r="D207" t="s">
        <v>9</v>
      </c>
      <c r="E207" t="s">
        <v>17</v>
      </c>
      <c r="F207" s="2">
        <v>5</v>
      </c>
      <c r="G207" s="2">
        <v>1200</v>
      </c>
      <c r="H207" s="2">
        <v>6000</v>
      </c>
    </row>
    <row r="208" spans="1:8" x14ac:dyDescent="0.35">
      <c r="A208">
        <v>207</v>
      </c>
      <c r="B208" s="1">
        <v>44403</v>
      </c>
      <c r="C208" t="s">
        <v>23</v>
      </c>
      <c r="D208" t="s">
        <v>9</v>
      </c>
      <c r="E208" t="s">
        <v>22</v>
      </c>
      <c r="F208" s="2">
        <v>5</v>
      </c>
      <c r="G208" s="2">
        <v>2100</v>
      </c>
      <c r="H208" s="2">
        <v>10500</v>
      </c>
    </row>
    <row r="209" spans="1:8" x14ac:dyDescent="0.35">
      <c r="A209">
        <v>208</v>
      </c>
      <c r="B209" s="1">
        <v>44404</v>
      </c>
      <c r="C209" t="s">
        <v>23</v>
      </c>
      <c r="D209" t="s">
        <v>20</v>
      </c>
      <c r="E209" t="s">
        <v>17</v>
      </c>
      <c r="F209" s="2">
        <v>4</v>
      </c>
      <c r="G209" s="2">
        <v>1200</v>
      </c>
      <c r="H209" s="2">
        <v>4800</v>
      </c>
    </row>
    <row r="210" spans="1:8" x14ac:dyDescent="0.35">
      <c r="A210">
        <v>209</v>
      </c>
      <c r="B210" s="1">
        <v>44405</v>
      </c>
      <c r="C210" t="s">
        <v>16</v>
      </c>
      <c r="D210" t="s">
        <v>12</v>
      </c>
      <c r="E210" t="s">
        <v>22</v>
      </c>
      <c r="F210" s="2">
        <v>7</v>
      </c>
      <c r="G210" s="2">
        <v>2100</v>
      </c>
      <c r="H210" s="2">
        <v>14700</v>
      </c>
    </row>
    <row r="211" spans="1:8" x14ac:dyDescent="0.35">
      <c r="A211">
        <v>210</v>
      </c>
      <c r="B211" s="1">
        <v>44406</v>
      </c>
      <c r="C211" t="s">
        <v>11</v>
      </c>
      <c r="D211" t="s">
        <v>14</v>
      </c>
      <c r="E211" t="s">
        <v>19</v>
      </c>
      <c r="F211" s="2">
        <v>5</v>
      </c>
      <c r="G211" s="2">
        <v>190</v>
      </c>
      <c r="H211" s="2">
        <v>950</v>
      </c>
    </row>
    <row r="212" spans="1:8" x14ac:dyDescent="0.35">
      <c r="A212">
        <v>211</v>
      </c>
      <c r="B212" s="1">
        <v>44407</v>
      </c>
      <c r="C212" t="s">
        <v>16</v>
      </c>
      <c r="D212" t="s">
        <v>20</v>
      </c>
      <c r="E212" t="s">
        <v>10</v>
      </c>
      <c r="F212" s="2">
        <v>6</v>
      </c>
      <c r="G212" s="2">
        <v>300</v>
      </c>
      <c r="H212" s="2">
        <v>1800</v>
      </c>
    </row>
    <row r="213" spans="1:8" x14ac:dyDescent="0.35">
      <c r="A213">
        <v>212</v>
      </c>
      <c r="B213" s="1">
        <v>44408</v>
      </c>
      <c r="C213" t="s">
        <v>11</v>
      </c>
      <c r="D213" t="s">
        <v>12</v>
      </c>
      <c r="E213" t="s">
        <v>22</v>
      </c>
      <c r="F213" s="2">
        <v>3</v>
      </c>
      <c r="G213" s="2">
        <v>2100</v>
      </c>
      <c r="H213" s="2">
        <v>6300</v>
      </c>
    </row>
    <row r="214" spans="1:8" x14ac:dyDescent="0.35">
      <c r="A214">
        <v>213</v>
      </c>
      <c r="B214" s="1">
        <v>44409</v>
      </c>
      <c r="C214" t="s">
        <v>18</v>
      </c>
      <c r="D214" t="s">
        <v>9</v>
      </c>
      <c r="E214" t="s">
        <v>17</v>
      </c>
      <c r="F214" s="2">
        <v>7</v>
      </c>
      <c r="G214" s="2">
        <v>1200</v>
      </c>
      <c r="H214" s="2">
        <v>8400</v>
      </c>
    </row>
    <row r="215" spans="1:8" x14ac:dyDescent="0.35">
      <c r="A215">
        <v>214</v>
      </c>
      <c r="B215" s="1">
        <v>44410</v>
      </c>
      <c r="C215" t="s">
        <v>16</v>
      </c>
      <c r="D215" t="s">
        <v>20</v>
      </c>
      <c r="E215" t="s">
        <v>22</v>
      </c>
      <c r="F215" s="2">
        <v>4</v>
      </c>
      <c r="G215" s="2">
        <v>2100</v>
      </c>
      <c r="H215" s="2">
        <v>8400</v>
      </c>
    </row>
    <row r="216" spans="1:8" x14ac:dyDescent="0.35">
      <c r="A216">
        <v>215</v>
      </c>
      <c r="B216" s="1">
        <v>44411</v>
      </c>
      <c r="C216" t="s">
        <v>21</v>
      </c>
      <c r="D216" t="s">
        <v>9</v>
      </c>
      <c r="E216" t="s">
        <v>17</v>
      </c>
      <c r="F216" s="2">
        <v>2</v>
      </c>
      <c r="G216" s="2">
        <v>1200</v>
      </c>
      <c r="H216" s="2">
        <v>2400</v>
      </c>
    </row>
    <row r="217" spans="1:8" x14ac:dyDescent="0.35">
      <c r="A217">
        <v>216</v>
      </c>
      <c r="B217" s="1">
        <v>44412</v>
      </c>
      <c r="C217" t="s">
        <v>23</v>
      </c>
      <c r="D217" t="s">
        <v>14</v>
      </c>
      <c r="E217" t="s">
        <v>19</v>
      </c>
      <c r="F217" s="2">
        <v>3</v>
      </c>
      <c r="G217" s="2">
        <v>190</v>
      </c>
      <c r="H217" s="2">
        <v>570</v>
      </c>
    </row>
    <row r="218" spans="1:8" x14ac:dyDescent="0.35">
      <c r="A218">
        <v>217</v>
      </c>
      <c r="B218" s="1">
        <v>44413</v>
      </c>
      <c r="C218" t="s">
        <v>16</v>
      </c>
      <c r="D218" t="s">
        <v>12</v>
      </c>
      <c r="E218" t="s">
        <v>17</v>
      </c>
      <c r="F218" s="2">
        <v>7</v>
      </c>
      <c r="G218" s="2">
        <v>1200</v>
      </c>
      <c r="H218" s="2">
        <v>8400</v>
      </c>
    </row>
    <row r="219" spans="1:8" x14ac:dyDescent="0.35">
      <c r="A219">
        <v>218</v>
      </c>
      <c r="B219" s="1">
        <v>44414</v>
      </c>
      <c r="C219" t="s">
        <v>16</v>
      </c>
      <c r="D219" t="s">
        <v>9</v>
      </c>
      <c r="E219" t="s">
        <v>22</v>
      </c>
      <c r="F219" s="2">
        <v>5</v>
      </c>
      <c r="G219" s="2">
        <v>2100</v>
      </c>
      <c r="H219" s="2">
        <v>10500</v>
      </c>
    </row>
    <row r="220" spans="1:8" x14ac:dyDescent="0.35">
      <c r="A220">
        <v>219</v>
      </c>
      <c r="B220" s="1">
        <v>44415</v>
      </c>
      <c r="C220" t="s">
        <v>11</v>
      </c>
      <c r="D220" t="s">
        <v>20</v>
      </c>
      <c r="E220" t="s">
        <v>22</v>
      </c>
      <c r="F220" s="2">
        <v>3</v>
      </c>
      <c r="G220" s="2">
        <v>2100</v>
      </c>
      <c r="H220" s="2">
        <v>6300</v>
      </c>
    </row>
    <row r="221" spans="1:8" x14ac:dyDescent="0.35">
      <c r="A221">
        <v>220</v>
      </c>
      <c r="B221" s="1">
        <v>44416</v>
      </c>
      <c r="C221" t="s">
        <v>21</v>
      </c>
      <c r="D221" t="s">
        <v>12</v>
      </c>
      <c r="E221" t="s">
        <v>17</v>
      </c>
      <c r="F221" s="2">
        <v>2</v>
      </c>
      <c r="G221" s="2">
        <v>1200</v>
      </c>
      <c r="H221" s="2">
        <v>2400</v>
      </c>
    </row>
    <row r="222" spans="1:8" x14ac:dyDescent="0.35">
      <c r="A222">
        <v>221</v>
      </c>
      <c r="B222" s="1">
        <v>44417</v>
      </c>
      <c r="C222" t="s">
        <v>23</v>
      </c>
      <c r="D222" t="s">
        <v>20</v>
      </c>
      <c r="E222" t="s">
        <v>10</v>
      </c>
      <c r="F222" s="2">
        <v>6</v>
      </c>
      <c r="G222" s="2">
        <v>300</v>
      </c>
      <c r="H222" s="2">
        <v>1800</v>
      </c>
    </row>
    <row r="223" spans="1:8" x14ac:dyDescent="0.35">
      <c r="A223">
        <v>222</v>
      </c>
      <c r="B223" s="1">
        <v>44418</v>
      </c>
      <c r="C223" t="s">
        <v>18</v>
      </c>
      <c r="D223" t="s">
        <v>9</v>
      </c>
      <c r="E223" t="s">
        <v>22</v>
      </c>
      <c r="F223" s="2">
        <v>6</v>
      </c>
      <c r="G223" s="2">
        <v>2100</v>
      </c>
      <c r="H223" s="2">
        <v>12600</v>
      </c>
    </row>
    <row r="224" spans="1:8" x14ac:dyDescent="0.35">
      <c r="A224">
        <v>223</v>
      </c>
      <c r="B224" s="1">
        <v>44419</v>
      </c>
      <c r="C224" t="s">
        <v>8</v>
      </c>
      <c r="D224" t="s">
        <v>20</v>
      </c>
      <c r="E224" t="s">
        <v>19</v>
      </c>
      <c r="F224" s="2">
        <v>6</v>
      </c>
      <c r="G224" s="2">
        <v>190</v>
      </c>
      <c r="H224" s="2">
        <v>1140</v>
      </c>
    </row>
    <row r="225" spans="1:8" x14ac:dyDescent="0.35">
      <c r="A225">
        <v>224</v>
      </c>
      <c r="B225" s="1">
        <v>44420</v>
      </c>
      <c r="C225" t="s">
        <v>23</v>
      </c>
      <c r="D225" t="s">
        <v>12</v>
      </c>
      <c r="E225" t="s">
        <v>19</v>
      </c>
      <c r="F225" s="2">
        <v>2</v>
      </c>
      <c r="G225" s="2">
        <v>190</v>
      </c>
      <c r="H225" s="2">
        <v>380</v>
      </c>
    </row>
    <row r="226" spans="1:8" x14ac:dyDescent="0.35">
      <c r="A226">
        <v>225</v>
      </c>
      <c r="B226" s="1">
        <v>44421</v>
      </c>
      <c r="C226" t="s">
        <v>16</v>
      </c>
      <c r="D226" t="s">
        <v>12</v>
      </c>
      <c r="E226" t="s">
        <v>22</v>
      </c>
      <c r="F226" s="2">
        <v>5</v>
      </c>
      <c r="G226" s="2">
        <v>2100</v>
      </c>
      <c r="H226" s="2">
        <v>10500</v>
      </c>
    </row>
    <row r="227" spans="1:8" x14ac:dyDescent="0.35">
      <c r="A227">
        <v>226</v>
      </c>
      <c r="B227" s="1">
        <v>44422</v>
      </c>
      <c r="C227" t="s">
        <v>16</v>
      </c>
      <c r="D227" t="s">
        <v>20</v>
      </c>
      <c r="E227" t="s">
        <v>19</v>
      </c>
      <c r="F227" s="2">
        <v>3</v>
      </c>
      <c r="G227" s="2">
        <v>190</v>
      </c>
      <c r="H227" s="2">
        <v>570</v>
      </c>
    </row>
    <row r="228" spans="1:8" x14ac:dyDescent="0.35">
      <c r="A228">
        <v>227</v>
      </c>
      <c r="B228" s="1">
        <v>44423</v>
      </c>
      <c r="C228" t="s">
        <v>11</v>
      </c>
      <c r="D228" t="s">
        <v>14</v>
      </c>
      <c r="E228" t="s">
        <v>10</v>
      </c>
      <c r="F228" s="2">
        <v>2</v>
      </c>
      <c r="G228" s="2">
        <v>300</v>
      </c>
      <c r="H228" s="2">
        <v>600</v>
      </c>
    </row>
    <row r="229" spans="1:8" x14ac:dyDescent="0.35">
      <c r="A229">
        <v>228</v>
      </c>
      <c r="B229" s="1">
        <v>44424</v>
      </c>
      <c r="C229" t="s">
        <v>18</v>
      </c>
      <c r="D229" t="s">
        <v>9</v>
      </c>
      <c r="E229" t="s">
        <v>19</v>
      </c>
      <c r="F229" s="2">
        <v>3</v>
      </c>
      <c r="G229" s="2">
        <v>190</v>
      </c>
      <c r="H229" s="2">
        <v>570</v>
      </c>
    </row>
    <row r="230" spans="1:8" x14ac:dyDescent="0.35">
      <c r="A230">
        <v>229</v>
      </c>
      <c r="B230" s="1">
        <v>44425</v>
      </c>
      <c r="C230" t="s">
        <v>23</v>
      </c>
      <c r="D230" t="s">
        <v>20</v>
      </c>
      <c r="E230" t="s">
        <v>10</v>
      </c>
      <c r="F230" s="2">
        <v>2</v>
      </c>
      <c r="G230" s="2">
        <v>300</v>
      </c>
      <c r="H230" s="2">
        <v>600</v>
      </c>
    </row>
    <row r="231" spans="1:8" x14ac:dyDescent="0.35">
      <c r="A231">
        <v>230</v>
      </c>
      <c r="B231" s="1">
        <v>44426</v>
      </c>
      <c r="C231" t="s">
        <v>16</v>
      </c>
      <c r="D231" t="s">
        <v>14</v>
      </c>
      <c r="E231" t="s">
        <v>17</v>
      </c>
      <c r="F231" s="2">
        <v>2</v>
      </c>
      <c r="G231" s="2">
        <v>1200</v>
      </c>
      <c r="H231" s="2">
        <v>2400</v>
      </c>
    </row>
    <row r="232" spans="1:8" x14ac:dyDescent="0.35">
      <c r="A232">
        <v>231</v>
      </c>
      <c r="B232" s="1">
        <v>44427</v>
      </c>
      <c r="C232" t="s">
        <v>16</v>
      </c>
      <c r="D232" t="s">
        <v>20</v>
      </c>
      <c r="E232" t="s">
        <v>10</v>
      </c>
      <c r="F232" s="2">
        <v>6</v>
      </c>
      <c r="G232" s="2">
        <v>300</v>
      </c>
      <c r="H232" s="2">
        <v>1800</v>
      </c>
    </row>
    <row r="233" spans="1:8" x14ac:dyDescent="0.35">
      <c r="A233">
        <v>232</v>
      </c>
      <c r="B233" s="1">
        <v>44428</v>
      </c>
      <c r="C233" t="s">
        <v>23</v>
      </c>
      <c r="D233" t="s">
        <v>20</v>
      </c>
      <c r="E233" t="s">
        <v>22</v>
      </c>
      <c r="F233" s="2">
        <v>5</v>
      </c>
      <c r="G233" s="2">
        <v>2100</v>
      </c>
      <c r="H233" s="2">
        <v>10500</v>
      </c>
    </row>
    <row r="234" spans="1:8" x14ac:dyDescent="0.35">
      <c r="A234">
        <v>233</v>
      </c>
      <c r="B234" s="1">
        <v>44429</v>
      </c>
      <c r="C234" t="s">
        <v>11</v>
      </c>
      <c r="D234" t="s">
        <v>20</v>
      </c>
      <c r="E234" t="s">
        <v>22</v>
      </c>
      <c r="F234" s="2">
        <v>7</v>
      </c>
      <c r="G234" s="2">
        <v>2100</v>
      </c>
      <c r="H234" s="2">
        <v>14700</v>
      </c>
    </row>
    <row r="235" spans="1:8" x14ac:dyDescent="0.35">
      <c r="A235">
        <v>234</v>
      </c>
      <c r="B235" s="1">
        <v>44430</v>
      </c>
      <c r="C235" t="s">
        <v>18</v>
      </c>
      <c r="D235" t="s">
        <v>20</v>
      </c>
      <c r="E235" t="s">
        <v>17</v>
      </c>
      <c r="F235" s="2">
        <v>7</v>
      </c>
      <c r="G235" s="2">
        <v>1200</v>
      </c>
      <c r="H235" s="2">
        <v>8400</v>
      </c>
    </row>
    <row r="236" spans="1:8" x14ac:dyDescent="0.35">
      <c r="A236">
        <v>235</v>
      </c>
      <c r="B236" s="1">
        <v>44431</v>
      </c>
      <c r="C236" t="s">
        <v>16</v>
      </c>
      <c r="D236" t="s">
        <v>9</v>
      </c>
      <c r="E236" t="s">
        <v>15</v>
      </c>
      <c r="F236" s="2">
        <v>2</v>
      </c>
      <c r="G236" s="2">
        <v>210</v>
      </c>
      <c r="H236" s="2">
        <v>420</v>
      </c>
    </row>
    <row r="237" spans="1:8" x14ac:dyDescent="0.35">
      <c r="A237">
        <v>236</v>
      </c>
      <c r="B237" s="1">
        <v>44432</v>
      </c>
      <c r="C237" t="s">
        <v>21</v>
      </c>
      <c r="D237" t="s">
        <v>12</v>
      </c>
      <c r="E237" t="s">
        <v>13</v>
      </c>
      <c r="F237" s="2">
        <v>7</v>
      </c>
      <c r="G237" s="2">
        <v>1500</v>
      </c>
      <c r="H237" s="2">
        <v>10500</v>
      </c>
    </row>
    <row r="238" spans="1:8" x14ac:dyDescent="0.35">
      <c r="A238">
        <v>237</v>
      </c>
      <c r="B238" s="1">
        <v>44433</v>
      </c>
      <c r="C238" t="s">
        <v>21</v>
      </c>
      <c r="D238" t="s">
        <v>20</v>
      </c>
      <c r="E238" t="s">
        <v>19</v>
      </c>
      <c r="F238" s="2">
        <v>7</v>
      </c>
      <c r="G238" s="2">
        <v>190</v>
      </c>
      <c r="H238" s="2">
        <v>1330</v>
      </c>
    </row>
    <row r="239" spans="1:8" x14ac:dyDescent="0.35">
      <c r="A239">
        <v>238</v>
      </c>
      <c r="B239" s="1">
        <v>44434</v>
      </c>
      <c r="C239" t="s">
        <v>11</v>
      </c>
      <c r="D239" t="s">
        <v>20</v>
      </c>
      <c r="E239" t="s">
        <v>22</v>
      </c>
      <c r="F239" s="2">
        <v>7</v>
      </c>
      <c r="G239" s="2">
        <v>2100</v>
      </c>
      <c r="H239" s="2">
        <v>14700</v>
      </c>
    </row>
    <row r="240" spans="1:8" x14ac:dyDescent="0.35">
      <c r="A240">
        <v>239</v>
      </c>
      <c r="B240" s="1">
        <v>44435</v>
      </c>
      <c r="C240" t="s">
        <v>16</v>
      </c>
      <c r="D240" t="s">
        <v>12</v>
      </c>
      <c r="E240" t="s">
        <v>13</v>
      </c>
      <c r="F240" s="2">
        <v>6</v>
      </c>
      <c r="G240" s="2">
        <v>1500</v>
      </c>
      <c r="H240" s="2">
        <v>9000</v>
      </c>
    </row>
    <row r="241" spans="1:8" x14ac:dyDescent="0.35">
      <c r="A241">
        <v>240</v>
      </c>
      <c r="B241" s="1">
        <v>44436</v>
      </c>
      <c r="C241" t="s">
        <v>23</v>
      </c>
      <c r="D241" t="s">
        <v>20</v>
      </c>
      <c r="E241" t="s">
        <v>13</v>
      </c>
      <c r="F241" s="2">
        <v>4</v>
      </c>
      <c r="G241" s="2">
        <v>1500</v>
      </c>
      <c r="H241" s="2">
        <v>6000</v>
      </c>
    </row>
    <row r="242" spans="1:8" x14ac:dyDescent="0.35">
      <c r="A242">
        <v>241</v>
      </c>
      <c r="B242" s="1">
        <v>44437</v>
      </c>
      <c r="C242" t="s">
        <v>21</v>
      </c>
      <c r="D242" t="s">
        <v>14</v>
      </c>
      <c r="E242" t="s">
        <v>15</v>
      </c>
      <c r="F242" s="2">
        <v>4</v>
      </c>
      <c r="G242" s="2">
        <v>210</v>
      </c>
      <c r="H242" s="2">
        <v>840</v>
      </c>
    </row>
    <row r="243" spans="1:8" x14ac:dyDescent="0.35">
      <c r="A243">
        <v>242</v>
      </c>
      <c r="B243" s="1">
        <v>44438</v>
      </c>
      <c r="C243" t="s">
        <v>16</v>
      </c>
      <c r="D243" t="s">
        <v>20</v>
      </c>
      <c r="E243" t="s">
        <v>10</v>
      </c>
      <c r="F243" s="2">
        <v>3</v>
      </c>
      <c r="G243" s="2">
        <v>300</v>
      </c>
      <c r="H243" s="2">
        <v>900</v>
      </c>
    </row>
    <row r="244" spans="1:8" x14ac:dyDescent="0.35">
      <c r="A244">
        <v>243</v>
      </c>
      <c r="B244" s="1">
        <v>44439</v>
      </c>
      <c r="C244" t="s">
        <v>16</v>
      </c>
      <c r="D244" t="s">
        <v>9</v>
      </c>
      <c r="E244" t="s">
        <v>15</v>
      </c>
      <c r="F244" s="2">
        <v>3</v>
      </c>
      <c r="G244" s="2">
        <v>210</v>
      </c>
      <c r="H244" s="2">
        <v>630</v>
      </c>
    </row>
    <row r="245" spans="1:8" x14ac:dyDescent="0.35">
      <c r="A245">
        <v>244</v>
      </c>
      <c r="B245" s="1">
        <v>44440</v>
      </c>
      <c r="C245" t="s">
        <v>16</v>
      </c>
      <c r="D245" t="s">
        <v>20</v>
      </c>
      <c r="E245" t="s">
        <v>10</v>
      </c>
      <c r="F245" s="2">
        <v>6</v>
      </c>
      <c r="G245" s="2">
        <v>300</v>
      </c>
      <c r="H245" s="2">
        <v>1800</v>
      </c>
    </row>
    <row r="246" spans="1:8" x14ac:dyDescent="0.35">
      <c r="A246">
        <v>245</v>
      </c>
      <c r="B246" s="1">
        <v>44441</v>
      </c>
      <c r="C246" t="s">
        <v>21</v>
      </c>
      <c r="D246" t="s">
        <v>14</v>
      </c>
      <c r="E246" t="s">
        <v>10</v>
      </c>
      <c r="F246" s="2">
        <v>3</v>
      </c>
      <c r="G246" s="2">
        <v>300</v>
      </c>
      <c r="H246" s="2">
        <v>900</v>
      </c>
    </row>
    <row r="247" spans="1:8" x14ac:dyDescent="0.35">
      <c r="A247">
        <v>246</v>
      </c>
      <c r="B247" s="1">
        <v>44442</v>
      </c>
      <c r="C247" t="s">
        <v>18</v>
      </c>
      <c r="D247" t="s">
        <v>9</v>
      </c>
      <c r="E247" t="s">
        <v>10</v>
      </c>
      <c r="F247" s="2">
        <v>3</v>
      </c>
      <c r="G247" s="2">
        <v>300</v>
      </c>
      <c r="H247" s="2">
        <v>900</v>
      </c>
    </row>
    <row r="248" spans="1:8" x14ac:dyDescent="0.35">
      <c r="A248">
        <v>247</v>
      </c>
      <c r="B248" s="1">
        <v>44443</v>
      </c>
      <c r="C248" t="s">
        <v>23</v>
      </c>
      <c r="D248" t="s">
        <v>9</v>
      </c>
      <c r="E248" t="s">
        <v>15</v>
      </c>
      <c r="F248" s="2">
        <v>4</v>
      </c>
      <c r="G248" s="2">
        <v>210</v>
      </c>
      <c r="H248" s="2">
        <v>840</v>
      </c>
    </row>
    <row r="249" spans="1:8" x14ac:dyDescent="0.35">
      <c r="A249">
        <v>248</v>
      </c>
      <c r="B249" s="1">
        <v>44444</v>
      </c>
      <c r="C249" t="s">
        <v>16</v>
      </c>
      <c r="D249" t="s">
        <v>14</v>
      </c>
      <c r="E249" t="s">
        <v>15</v>
      </c>
      <c r="F249" s="2">
        <v>2</v>
      </c>
      <c r="G249" s="2">
        <v>210</v>
      </c>
      <c r="H249" s="2">
        <v>420</v>
      </c>
    </row>
    <row r="250" spans="1:8" x14ac:dyDescent="0.35">
      <c r="A250">
        <v>249</v>
      </c>
      <c r="B250" s="1">
        <v>44445</v>
      </c>
      <c r="C250" t="s">
        <v>18</v>
      </c>
      <c r="D250" t="s">
        <v>12</v>
      </c>
      <c r="E250" t="s">
        <v>15</v>
      </c>
      <c r="F250" s="2">
        <v>3</v>
      </c>
      <c r="G250" s="2">
        <v>210</v>
      </c>
      <c r="H250" s="2">
        <v>630</v>
      </c>
    </row>
    <row r="251" spans="1:8" x14ac:dyDescent="0.35">
      <c r="A251">
        <v>250</v>
      </c>
      <c r="B251" s="1">
        <v>44446</v>
      </c>
      <c r="C251" t="s">
        <v>18</v>
      </c>
      <c r="D251" t="s">
        <v>12</v>
      </c>
      <c r="E251" t="s">
        <v>19</v>
      </c>
      <c r="F251" s="2">
        <v>5</v>
      </c>
      <c r="G251" s="2">
        <v>190</v>
      </c>
      <c r="H251" s="2">
        <v>950</v>
      </c>
    </row>
    <row r="252" spans="1:8" x14ac:dyDescent="0.35">
      <c r="A252">
        <v>251</v>
      </c>
      <c r="B252" s="1">
        <v>44447</v>
      </c>
      <c r="C252" t="s">
        <v>21</v>
      </c>
      <c r="D252" t="s">
        <v>12</v>
      </c>
      <c r="E252" t="s">
        <v>15</v>
      </c>
      <c r="F252" s="2">
        <v>7</v>
      </c>
      <c r="G252" s="2">
        <v>210</v>
      </c>
      <c r="H252" s="2">
        <v>1470</v>
      </c>
    </row>
    <row r="253" spans="1:8" x14ac:dyDescent="0.35">
      <c r="A253">
        <v>252</v>
      </c>
      <c r="B253" s="1">
        <v>44448</v>
      </c>
      <c r="C253" t="s">
        <v>18</v>
      </c>
      <c r="D253" t="s">
        <v>20</v>
      </c>
      <c r="E253" t="s">
        <v>13</v>
      </c>
      <c r="F253" s="2">
        <v>5</v>
      </c>
      <c r="G253" s="2">
        <v>1500</v>
      </c>
      <c r="H253" s="2">
        <v>7500</v>
      </c>
    </row>
    <row r="254" spans="1:8" x14ac:dyDescent="0.35">
      <c r="A254">
        <v>253</v>
      </c>
      <c r="B254" s="1">
        <v>44449</v>
      </c>
      <c r="C254" t="s">
        <v>18</v>
      </c>
      <c r="D254" t="s">
        <v>20</v>
      </c>
      <c r="E254" t="s">
        <v>13</v>
      </c>
      <c r="F254" s="2">
        <v>3</v>
      </c>
      <c r="G254" s="2">
        <v>1500</v>
      </c>
      <c r="H254" s="2">
        <v>4500</v>
      </c>
    </row>
    <row r="255" spans="1:8" x14ac:dyDescent="0.35">
      <c r="A255">
        <v>254</v>
      </c>
      <c r="B255" s="1">
        <v>44450</v>
      </c>
      <c r="C255" t="s">
        <v>23</v>
      </c>
      <c r="D255" t="s">
        <v>9</v>
      </c>
      <c r="E255" t="s">
        <v>13</v>
      </c>
      <c r="F255" s="2">
        <v>3</v>
      </c>
      <c r="G255" s="2">
        <v>1500</v>
      </c>
      <c r="H255" s="2">
        <v>4500</v>
      </c>
    </row>
    <row r="256" spans="1:8" x14ac:dyDescent="0.35">
      <c r="A256">
        <v>255</v>
      </c>
      <c r="B256" s="1">
        <v>44451</v>
      </c>
      <c r="C256" t="s">
        <v>11</v>
      </c>
      <c r="D256" t="s">
        <v>14</v>
      </c>
      <c r="E256" t="s">
        <v>17</v>
      </c>
      <c r="F256" s="2">
        <v>4</v>
      </c>
      <c r="G256" s="2">
        <v>1200</v>
      </c>
      <c r="H256" s="2">
        <v>4800</v>
      </c>
    </row>
    <row r="257" spans="1:8" x14ac:dyDescent="0.35">
      <c r="A257">
        <v>256</v>
      </c>
      <c r="B257" s="1">
        <v>44452</v>
      </c>
      <c r="C257" t="s">
        <v>23</v>
      </c>
      <c r="D257" t="s">
        <v>14</v>
      </c>
      <c r="E257" t="s">
        <v>10</v>
      </c>
      <c r="F257" s="2">
        <v>2</v>
      </c>
      <c r="G257" s="2">
        <v>300</v>
      </c>
      <c r="H257" s="2">
        <v>600</v>
      </c>
    </row>
    <row r="258" spans="1:8" x14ac:dyDescent="0.35">
      <c r="A258">
        <v>257</v>
      </c>
      <c r="B258" s="1">
        <v>44453</v>
      </c>
      <c r="C258" t="s">
        <v>11</v>
      </c>
      <c r="D258" t="s">
        <v>14</v>
      </c>
      <c r="E258" t="s">
        <v>17</v>
      </c>
      <c r="F258" s="2">
        <v>3</v>
      </c>
      <c r="G258" s="2">
        <v>1200</v>
      </c>
      <c r="H258" s="2">
        <v>3600</v>
      </c>
    </row>
    <row r="259" spans="1:8" x14ac:dyDescent="0.35">
      <c r="A259">
        <v>258</v>
      </c>
      <c r="B259" s="1">
        <v>44454</v>
      </c>
      <c r="C259" t="s">
        <v>21</v>
      </c>
      <c r="D259" t="s">
        <v>12</v>
      </c>
      <c r="E259" t="s">
        <v>17</v>
      </c>
      <c r="F259" s="2">
        <v>5</v>
      </c>
      <c r="G259" s="2">
        <v>1200</v>
      </c>
      <c r="H259" s="2">
        <v>6000</v>
      </c>
    </row>
    <row r="260" spans="1:8" x14ac:dyDescent="0.35">
      <c r="A260">
        <v>259</v>
      </c>
      <c r="B260" s="1">
        <v>44455</v>
      </c>
      <c r="C260" t="s">
        <v>11</v>
      </c>
      <c r="D260" t="s">
        <v>9</v>
      </c>
      <c r="E260" t="s">
        <v>22</v>
      </c>
      <c r="F260" s="2">
        <v>7</v>
      </c>
      <c r="G260" s="2">
        <v>2100</v>
      </c>
      <c r="H260" s="2">
        <v>14700</v>
      </c>
    </row>
    <row r="261" spans="1:8" x14ac:dyDescent="0.35">
      <c r="A261">
        <v>260</v>
      </c>
      <c r="B261" s="1">
        <v>44456</v>
      </c>
      <c r="C261" t="s">
        <v>16</v>
      </c>
      <c r="D261" t="s">
        <v>14</v>
      </c>
      <c r="E261" t="s">
        <v>19</v>
      </c>
      <c r="F261" s="2">
        <v>6</v>
      </c>
      <c r="G261" s="2">
        <v>190</v>
      </c>
      <c r="H261" s="2">
        <v>1140</v>
      </c>
    </row>
    <row r="262" spans="1:8" x14ac:dyDescent="0.35">
      <c r="A262">
        <v>261</v>
      </c>
      <c r="B262" s="1">
        <v>44457</v>
      </c>
      <c r="C262" t="s">
        <v>23</v>
      </c>
      <c r="D262" t="s">
        <v>20</v>
      </c>
      <c r="E262" t="s">
        <v>15</v>
      </c>
      <c r="F262" s="2">
        <v>3</v>
      </c>
      <c r="G262" s="2">
        <v>210</v>
      </c>
      <c r="H262" s="2">
        <v>630</v>
      </c>
    </row>
    <row r="263" spans="1:8" x14ac:dyDescent="0.35">
      <c r="A263">
        <v>262</v>
      </c>
      <c r="B263" s="1">
        <v>44458</v>
      </c>
      <c r="C263" t="s">
        <v>21</v>
      </c>
      <c r="D263" t="s">
        <v>9</v>
      </c>
      <c r="E263" t="s">
        <v>22</v>
      </c>
      <c r="F263" s="2">
        <v>5</v>
      </c>
      <c r="G263" s="2">
        <v>2100</v>
      </c>
      <c r="H263" s="2">
        <v>10500</v>
      </c>
    </row>
    <row r="264" spans="1:8" x14ac:dyDescent="0.35">
      <c r="A264">
        <v>263</v>
      </c>
      <c r="B264" s="1">
        <v>44459</v>
      </c>
      <c r="C264" t="s">
        <v>11</v>
      </c>
      <c r="D264" t="s">
        <v>12</v>
      </c>
      <c r="E264" t="s">
        <v>22</v>
      </c>
      <c r="F264" s="2">
        <v>6</v>
      </c>
      <c r="G264" s="2">
        <v>2100</v>
      </c>
      <c r="H264" s="2">
        <v>12600</v>
      </c>
    </row>
    <row r="265" spans="1:8" x14ac:dyDescent="0.35">
      <c r="A265">
        <v>264</v>
      </c>
      <c r="B265" s="1">
        <v>44460</v>
      </c>
      <c r="C265" t="s">
        <v>16</v>
      </c>
      <c r="D265" t="s">
        <v>9</v>
      </c>
      <c r="E265" t="s">
        <v>17</v>
      </c>
      <c r="F265" s="2">
        <v>6</v>
      </c>
      <c r="G265" s="2">
        <v>1200</v>
      </c>
      <c r="H265" s="2">
        <v>7200</v>
      </c>
    </row>
    <row r="266" spans="1:8" x14ac:dyDescent="0.35">
      <c r="A266">
        <v>265</v>
      </c>
      <c r="B266" s="1">
        <v>44461</v>
      </c>
      <c r="C266" t="s">
        <v>23</v>
      </c>
      <c r="D266" t="s">
        <v>9</v>
      </c>
      <c r="E266" t="s">
        <v>17</v>
      </c>
      <c r="F266" s="2">
        <v>5</v>
      </c>
      <c r="G266" s="2">
        <v>1200</v>
      </c>
      <c r="H266" s="2">
        <v>6000</v>
      </c>
    </row>
    <row r="267" spans="1:8" x14ac:dyDescent="0.35">
      <c r="A267">
        <v>266</v>
      </c>
      <c r="B267" s="1">
        <v>44462</v>
      </c>
      <c r="C267" t="s">
        <v>23</v>
      </c>
      <c r="D267" t="s">
        <v>9</v>
      </c>
      <c r="E267" t="s">
        <v>15</v>
      </c>
      <c r="F267" s="2">
        <v>3</v>
      </c>
      <c r="G267" s="2">
        <v>210</v>
      </c>
      <c r="H267" s="2">
        <v>630</v>
      </c>
    </row>
    <row r="268" spans="1:8" x14ac:dyDescent="0.35">
      <c r="A268">
        <v>267</v>
      </c>
      <c r="B268" s="1">
        <v>44463</v>
      </c>
      <c r="C268" t="s">
        <v>21</v>
      </c>
      <c r="D268" t="s">
        <v>9</v>
      </c>
      <c r="E268" t="s">
        <v>22</v>
      </c>
      <c r="F268" s="2">
        <v>2</v>
      </c>
      <c r="G268" s="2">
        <v>2100</v>
      </c>
      <c r="H268" s="2">
        <v>4200</v>
      </c>
    </row>
    <row r="269" spans="1:8" x14ac:dyDescent="0.35">
      <c r="A269">
        <v>268</v>
      </c>
      <c r="B269" s="1">
        <v>44464</v>
      </c>
      <c r="C269" t="s">
        <v>21</v>
      </c>
      <c r="D269" t="s">
        <v>9</v>
      </c>
      <c r="E269" t="s">
        <v>19</v>
      </c>
      <c r="F269" s="2">
        <v>5</v>
      </c>
      <c r="G269" s="2">
        <v>190</v>
      </c>
      <c r="H269" s="2">
        <v>950</v>
      </c>
    </row>
    <row r="270" spans="1:8" x14ac:dyDescent="0.35">
      <c r="A270">
        <v>269</v>
      </c>
      <c r="B270" s="1">
        <v>44465</v>
      </c>
      <c r="C270" t="s">
        <v>18</v>
      </c>
      <c r="D270" t="s">
        <v>9</v>
      </c>
      <c r="E270" t="s">
        <v>15</v>
      </c>
      <c r="F270" s="2">
        <v>7</v>
      </c>
      <c r="G270" s="2">
        <v>210</v>
      </c>
      <c r="H270" s="2">
        <v>1470</v>
      </c>
    </row>
    <row r="271" spans="1:8" x14ac:dyDescent="0.35">
      <c r="A271">
        <v>270</v>
      </c>
      <c r="B271" s="1">
        <v>44466</v>
      </c>
      <c r="C271" t="s">
        <v>11</v>
      </c>
      <c r="D271" t="s">
        <v>14</v>
      </c>
      <c r="E271" t="s">
        <v>22</v>
      </c>
      <c r="F271" s="2">
        <v>2</v>
      </c>
      <c r="G271" s="2">
        <v>2100</v>
      </c>
      <c r="H271" s="2">
        <v>4200</v>
      </c>
    </row>
    <row r="272" spans="1:8" x14ac:dyDescent="0.35">
      <c r="A272">
        <v>271</v>
      </c>
      <c r="B272" s="1">
        <v>44467</v>
      </c>
      <c r="C272" t="s">
        <v>11</v>
      </c>
      <c r="D272" t="s">
        <v>12</v>
      </c>
      <c r="E272" t="s">
        <v>19</v>
      </c>
      <c r="F272" s="2">
        <v>7</v>
      </c>
      <c r="G272" s="2">
        <v>190</v>
      </c>
      <c r="H272" s="2">
        <v>1330</v>
      </c>
    </row>
    <row r="273" spans="1:8" x14ac:dyDescent="0.35">
      <c r="A273">
        <v>272</v>
      </c>
      <c r="B273" s="1">
        <v>44468</v>
      </c>
      <c r="C273" t="s">
        <v>8</v>
      </c>
      <c r="D273" t="s">
        <v>9</v>
      </c>
      <c r="E273" t="s">
        <v>17</v>
      </c>
      <c r="F273" s="2">
        <v>5</v>
      </c>
      <c r="G273" s="2">
        <v>1200</v>
      </c>
      <c r="H273" s="2">
        <v>6000</v>
      </c>
    </row>
    <row r="274" spans="1:8" x14ac:dyDescent="0.35">
      <c r="A274">
        <v>273</v>
      </c>
      <c r="B274" s="1">
        <v>44469</v>
      </c>
      <c r="C274" t="s">
        <v>21</v>
      </c>
      <c r="D274" t="s">
        <v>14</v>
      </c>
      <c r="E274" t="s">
        <v>13</v>
      </c>
      <c r="F274" s="2">
        <v>7</v>
      </c>
      <c r="G274" s="2">
        <v>1500</v>
      </c>
      <c r="H274" s="2">
        <v>10500</v>
      </c>
    </row>
    <row r="275" spans="1:8" x14ac:dyDescent="0.35">
      <c r="A275">
        <v>274</v>
      </c>
      <c r="B275" s="1">
        <v>44470</v>
      </c>
      <c r="C275" t="s">
        <v>16</v>
      </c>
      <c r="D275" t="s">
        <v>9</v>
      </c>
      <c r="E275" t="s">
        <v>19</v>
      </c>
      <c r="F275" s="2">
        <v>3</v>
      </c>
      <c r="G275" s="2">
        <v>190</v>
      </c>
      <c r="H275" s="2">
        <v>570</v>
      </c>
    </row>
    <row r="276" spans="1:8" x14ac:dyDescent="0.35">
      <c r="A276">
        <v>275</v>
      </c>
      <c r="B276" s="1">
        <v>44471</v>
      </c>
      <c r="C276" t="s">
        <v>16</v>
      </c>
      <c r="D276" t="s">
        <v>14</v>
      </c>
      <c r="E276" t="s">
        <v>17</v>
      </c>
      <c r="F276" s="2">
        <v>7</v>
      </c>
      <c r="G276" s="2">
        <v>1200</v>
      </c>
      <c r="H276" s="2">
        <v>8400</v>
      </c>
    </row>
    <row r="277" spans="1:8" x14ac:dyDescent="0.35">
      <c r="A277">
        <v>276</v>
      </c>
      <c r="B277" s="1">
        <v>44472</v>
      </c>
      <c r="C277" t="s">
        <v>11</v>
      </c>
      <c r="D277" t="s">
        <v>14</v>
      </c>
      <c r="E277" t="s">
        <v>22</v>
      </c>
      <c r="F277" s="2">
        <v>7</v>
      </c>
      <c r="G277" s="2">
        <v>2100</v>
      </c>
      <c r="H277" s="2">
        <v>14700</v>
      </c>
    </row>
    <row r="278" spans="1:8" x14ac:dyDescent="0.35">
      <c r="A278">
        <v>277</v>
      </c>
      <c r="B278" s="1">
        <v>44473</v>
      </c>
      <c r="C278" t="s">
        <v>18</v>
      </c>
      <c r="D278" t="s">
        <v>12</v>
      </c>
      <c r="E278" t="s">
        <v>19</v>
      </c>
      <c r="F278" s="2">
        <v>6</v>
      </c>
      <c r="G278" s="2">
        <v>190</v>
      </c>
      <c r="H278" s="2">
        <v>1140</v>
      </c>
    </row>
    <row r="279" spans="1:8" x14ac:dyDescent="0.35">
      <c r="A279">
        <v>278</v>
      </c>
      <c r="B279" s="1">
        <v>44474</v>
      </c>
      <c r="C279" t="s">
        <v>18</v>
      </c>
      <c r="D279" t="s">
        <v>12</v>
      </c>
      <c r="E279" t="s">
        <v>17</v>
      </c>
      <c r="F279" s="2">
        <v>6</v>
      </c>
      <c r="G279" s="2">
        <v>1200</v>
      </c>
      <c r="H279" s="2">
        <v>7200</v>
      </c>
    </row>
    <row r="280" spans="1:8" x14ac:dyDescent="0.35">
      <c r="A280">
        <v>279</v>
      </c>
      <c r="B280" s="1">
        <v>44475</v>
      </c>
      <c r="C280" t="s">
        <v>16</v>
      </c>
      <c r="D280" t="s">
        <v>9</v>
      </c>
      <c r="E280" t="s">
        <v>10</v>
      </c>
      <c r="F280" s="2">
        <v>5</v>
      </c>
      <c r="G280" s="2">
        <v>300</v>
      </c>
      <c r="H280" s="2">
        <v>1500</v>
      </c>
    </row>
    <row r="281" spans="1:8" x14ac:dyDescent="0.35">
      <c r="A281">
        <v>280</v>
      </c>
      <c r="B281" s="1">
        <v>44476</v>
      </c>
      <c r="C281" t="s">
        <v>18</v>
      </c>
      <c r="D281" t="s">
        <v>14</v>
      </c>
      <c r="E281" t="s">
        <v>22</v>
      </c>
      <c r="F281" s="2">
        <v>6</v>
      </c>
      <c r="G281" s="2">
        <v>2100</v>
      </c>
      <c r="H281" s="2">
        <v>12600</v>
      </c>
    </row>
    <row r="282" spans="1:8" x14ac:dyDescent="0.35">
      <c r="A282">
        <v>281</v>
      </c>
      <c r="B282" s="1">
        <v>44477</v>
      </c>
      <c r="C282" t="s">
        <v>23</v>
      </c>
      <c r="D282" t="s">
        <v>12</v>
      </c>
      <c r="E282" t="s">
        <v>17</v>
      </c>
      <c r="F282" s="2">
        <v>5</v>
      </c>
      <c r="G282" s="2">
        <v>1200</v>
      </c>
      <c r="H282" s="2">
        <v>6000</v>
      </c>
    </row>
    <row r="283" spans="1:8" x14ac:dyDescent="0.35">
      <c r="A283">
        <v>282</v>
      </c>
      <c r="B283" s="1">
        <v>44478</v>
      </c>
      <c r="C283" t="s">
        <v>16</v>
      </c>
      <c r="D283" t="s">
        <v>14</v>
      </c>
      <c r="E283" t="s">
        <v>17</v>
      </c>
      <c r="F283" s="2">
        <v>4</v>
      </c>
      <c r="G283" s="2">
        <v>1200</v>
      </c>
      <c r="H283" s="2">
        <v>4800</v>
      </c>
    </row>
    <row r="284" spans="1:8" x14ac:dyDescent="0.35">
      <c r="A284">
        <v>283</v>
      </c>
      <c r="B284" s="1">
        <v>44479</v>
      </c>
      <c r="C284" t="s">
        <v>16</v>
      </c>
      <c r="D284" t="s">
        <v>20</v>
      </c>
      <c r="E284" t="s">
        <v>19</v>
      </c>
      <c r="F284" s="2">
        <v>3</v>
      </c>
      <c r="G284" s="2">
        <v>190</v>
      </c>
      <c r="H284" s="2">
        <v>570</v>
      </c>
    </row>
    <row r="285" spans="1:8" x14ac:dyDescent="0.35">
      <c r="A285">
        <v>284</v>
      </c>
      <c r="B285" s="1">
        <v>44480</v>
      </c>
      <c r="C285" t="s">
        <v>21</v>
      </c>
      <c r="D285" t="s">
        <v>20</v>
      </c>
      <c r="E285" t="s">
        <v>22</v>
      </c>
      <c r="F285" s="2">
        <v>3</v>
      </c>
      <c r="G285" s="2">
        <v>2100</v>
      </c>
      <c r="H285" s="2">
        <v>6300</v>
      </c>
    </row>
    <row r="286" spans="1:8" x14ac:dyDescent="0.35">
      <c r="A286">
        <v>285</v>
      </c>
      <c r="B286" s="1">
        <v>44481</v>
      </c>
      <c r="C286" t="s">
        <v>11</v>
      </c>
      <c r="D286" t="s">
        <v>12</v>
      </c>
      <c r="E286" t="s">
        <v>17</v>
      </c>
      <c r="F286" s="2">
        <v>4</v>
      </c>
      <c r="G286" s="2">
        <v>1200</v>
      </c>
      <c r="H286" s="2">
        <v>4800</v>
      </c>
    </row>
    <row r="287" spans="1:8" x14ac:dyDescent="0.35">
      <c r="A287">
        <v>286</v>
      </c>
      <c r="B287" s="1">
        <v>44482</v>
      </c>
      <c r="C287" t="s">
        <v>23</v>
      </c>
      <c r="D287" t="s">
        <v>20</v>
      </c>
      <c r="E287" t="s">
        <v>22</v>
      </c>
      <c r="F287" s="2">
        <v>4</v>
      </c>
      <c r="G287" s="2">
        <v>2100</v>
      </c>
      <c r="H287" s="2">
        <v>8400</v>
      </c>
    </row>
    <row r="288" spans="1:8" x14ac:dyDescent="0.35">
      <c r="A288">
        <v>287</v>
      </c>
      <c r="B288" s="1">
        <v>44483</v>
      </c>
      <c r="C288" t="s">
        <v>18</v>
      </c>
      <c r="D288" t="s">
        <v>12</v>
      </c>
      <c r="E288" t="s">
        <v>15</v>
      </c>
      <c r="F288" s="2">
        <v>6</v>
      </c>
      <c r="G288" s="2">
        <v>210</v>
      </c>
      <c r="H288" s="2">
        <v>1260</v>
      </c>
    </row>
    <row r="289" spans="1:8" x14ac:dyDescent="0.35">
      <c r="A289">
        <v>288</v>
      </c>
      <c r="B289" s="1">
        <v>44484</v>
      </c>
      <c r="C289" t="s">
        <v>21</v>
      </c>
      <c r="D289" t="s">
        <v>9</v>
      </c>
      <c r="E289" t="s">
        <v>17</v>
      </c>
      <c r="F289" s="2">
        <v>5</v>
      </c>
      <c r="G289" s="2">
        <v>1200</v>
      </c>
      <c r="H289" s="2">
        <v>6000</v>
      </c>
    </row>
    <row r="290" spans="1:8" x14ac:dyDescent="0.35">
      <c r="A290">
        <v>289</v>
      </c>
      <c r="B290" s="1">
        <v>44485</v>
      </c>
      <c r="C290" t="s">
        <v>23</v>
      </c>
      <c r="D290" t="s">
        <v>9</v>
      </c>
      <c r="E290" t="s">
        <v>17</v>
      </c>
      <c r="F290" s="2">
        <v>6</v>
      </c>
      <c r="G290" s="2">
        <v>1200</v>
      </c>
      <c r="H290" s="2">
        <v>7200</v>
      </c>
    </row>
    <row r="291" spans="1:8" x14ac:dyDescent="0.35">
      <c r="A291">
        <v>290</v>
      </c>
      <c r="B291" s="1">
        <v>44486</v>
      </c>
      <c r="C291" t="s">
        <v>21</v>
      </c>
      <c r="D291" t="s">
        <v>9</v>
      </c>
      <c r="E291" t="s">
        <v>22</v>
      </c>
      <c r="F291" s="2">
        <v>6</v>
      </c>
      <c r="G291" s="2">
        <v>2100</v>
      </c>
      <c r="H291" s="2">
        <v>12600</v>
      </c>
    </row>
    <row r="292" spans="1:8" x14ac:dyDescent="0.35">
      <c r="A292">
        <v>291</v>
      </c>
      <c r="B292" s="1">
        <v>44487</v>
      </c>
      <c r="C292" t="s">
        <v>11</v>
      </c>
      <c r="D292" t="s">
        <v>14</v>
      </c>
      <c r="E292" t="s">
        <v>22</v>
      </c>
      <c r="F292" s="2">
        <v>5</v>
      </c>
      <c r="G292" s="2">
        <v>2100</v>
      </c>
      <c r="H292" s="2">
        <v>10500</v>
      </c>
    </row>
    <row r="293" spans="1:8" x14ac:dyDescent="0.35">
      <c r="A293">
        <v>292</v>
      </c>
      <c r="B293" s="1">
        <v>44488</v>
      </c>
      <c r="C293" t="s">
        <v>8</v>
      </c>
      <c r="D293" t="s">
        <v>9</v>
      </c>
      <c r="E293" t="s">
        <v>15</v>
      </c>
      <c r="F293" s="2">
        <v>6</v>
      </c>
      <c r="G293" s="2">
        <v>210</v>
      </c>
      <c r="H293" s="2">
        <v>1260</v>
      </c>
    </row>
    <row r="294" spans="1:8" x14ac:dyDescent="0.35">
      <c r="A294">
        <v>293</v>
      </c>
      <c r="B294" s="1">
        <v>44489</v>
      </c>
      <c r="C294" t="s">
        <v>11</v>
      </c>
      <c r="D294" t="s">
        <v>9</v>
      </c>
      <c r="E294" t="s">
        <v>17</v>
      </c>
      <c r="F294" s="2">
        <v>4</v>
      </c>
      <c r="G294" s="2">
        <v>1200</v>
      </c>
      <c r="H294" s="2">
        <v>4800</v>
      </c>
    </row>
    <row r="295" spans="1:8" x14ac:dyDescent="0.35">
      <c r="A295">
        <v>294</v>
      </c>
      <c r="B295" s="1">
        <v>44490</v>
      </c>
      <c r="C295" t="s">
        <v>23</v>
      </c>
      <c r="D295" t="s">
        <v>14</v>
      </c>
      <c r="E295" t="s">
        <v>17</v>
      </c>
      <c r="F295" s="2">
        <v>3</v>
      </c>
      <c r="G295" s="2">
        <v>1200</v>
      </c>
      <c r="H295" s="2">
        <v>3600</v>
      </c>
    </row>
    <row r="296" spans="1:8" x14ac:dyDescent="0.35">
      <c r="A296">
        <v>295</v>
      </c>
      <c r="B296" s="1">
        <v>44491</v>
      </c>
      <c r="C296" t="s">
        <v>23</v>
      </c>
      <c r="D296" t="s">
        <v>20</v>
      </c>
      <c r="E296" t="s">
        <v>10</v>
      </c>
      <c r="F296" s="2">
        <v>2</v>
      </c>
      <c r="G296" s="2">
        <v>300</v>
      </c>
      <c r="H296" s="2">
        <v>600</v>
      </c>
    </row>
    <row r="297" spans="1:8" x14ac:dyDescent="0.35">
      <c r="A297">
        <v>296</v>
      </c>
      <c r="B297" s="1">
        <v>44492</v>
      </c>
      <c r="C297" t="s">
        <v>18</v>
      </c>
      <c r="D297" t="s">
        <v>20</v>
      </c>
      <c r="E297" t="s">
        <v>13</v>
      </c>
      <c r="F297" s="2">
        <v>5</v>
      </c>
      <c r="G297" s="2">
        <v>1500</v>
      </c>
      <c r="H297" s="2">
        <v>7500</v>
      </c>
    </row>
    <row r="298" spans="1:8" x14ac:dyDescent="0.35">
      <c r="A298">
        <v>297</v>
      </c>
      <c r="B298" s="1">
        <v>44493</v>
      </c>
      <c r="C298" t="s">
        <v>23</v>
      </c>
      <c r="D298" t="s">
        <v>12</v>
      </c>
      <c r="E298" t="s">
        <v>19</v>
      </c>
      <c r="F298" s="2">
        <v>3</v>
      </c>
      <c r="G298" s="2">
        <v>190</v>
      </c>
      <c r="H298" s="2">
        <v>570</v>
      </c>
    </row>
    <row r="299" spans="1:8" x14ac:dyDescent="0.35">
      <c r="A299">
        <v>298</v>
      </c>
      <c r="B299" s="1">
        <v>44494</v>
      </c>
      <c r="C299" t="s">
        <v>16</v>
      </c>
      <c r="D299" t="s">
        <v>9</v>
      </c>
      <c r="E299" t="s">
        <v>15</v>
      </c>
      <c r="F299" s="2">
        <v>6</v>
      </c>
      <c r="G299" s="2">
        <v>210</v>
      </c>
      <c r="H299" s="2">
        <v>1260</v>
      </c>
    </row>
    <row r="300" spans="1:8" x14ac:dyDescent="0.35">
      <c r="A300">
        <v>299</v>
      </c>
      <c r="B300" s="1">
        <v>44495</v>
      </c>
      <c r="C300" t="s">
        <v>11</v>
      </c>
      <c r="D300" t="s">
        <v>9</v>
      </c>
      <c r="E300" t="s">
        <v>10</v>
      </c>
      <c r="F300" s="2">
        <v>2</v>
      </c>
      <c r="G300" s="2">
        <v>300</v>
      </c>
      <c r="H300" s="2">
        <v>600</v>
      </c>
    </row>
    <row r="301" spans="1:8" x14ac:dyDescent="0.35">
      <c r="A301">
        <v>300</v>
      </c>
      <c r="B301" s="1">
        <v>44496</v>
      </c>
      <c r="C301" t="s">
        <v>18</v>
      </c>
      <c r="D301" t="s">
        <v>9</v>
      </c>
      <c r="E301" t="s">
        <v>13</v>
      </c>
      <c r="F301" s="2">
        <v>6</v>
      </c>
      <c r="G301" s="2">
        <v>1500</v>
      </c>
      <c r="H301" s="2">
        <v>9000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4AC58-5D76-4857-A6EA-5E9AEF6ECC89}">
  <dimension ref="A2:S74"/>
  <sheetViews>
    <sheetView zoomScale="55" zoomScaleNormal="55" workbookViewId="0">
      <selection activeCell="R44" sqref="R42:R44"/>
      <pivotSelection pane="bottomRight" showHeader="1" axis="axisRow" activeRow="43" activeCol="17" previousRow="43" previousCol="17" click="1" r:id="rId11">
        <pivotArea dataOnly="0" labelOnly="1" fieldPosition="0">
          <references count="1">
            <reference field="2" count="0"/>
          </references>
        </pivotArea>
      </pivotSelection>
    </sheetView>
  </sheetViews>
  <sheetFormatPr defaultRowHeight="14.5" x14ac:dyDescent="0.35"/>
  <cols>
    <col min="1" max="1" width="14.453125" bestFit="1" customWidth="1"/>
    <col min="2" max="2" width="14" style="1" bestFit="1" customWidth="1"/>
    <col min="3" max="3" width="10.1796875" customWidth="1"/>
    <col min="6" max="6" width="14.453125" style="2" bestFit="1" customWidth="1"/>
    <col min="7" max="7" width="14" style="2" bestFit="1" customWidth="1"/>
    <col min="8" max="8" width="8.7265625" style="2"/>
    <col min="10" max="10" width="14.453125" bestFit="1" customWidth="1"/>
    <col min="11" max="11" width="14" bestFit="1" customWidth="1"/>
    <col min="14" max="14" width="10.36328125" bestFit="1" customWidth="1"/>
    <col min="15" max="15" width="14" bestFit="1" customWidth="1"/>
    <col min="18" max="18" width="14.453125" bestFit="1" customWidth="1"/>
    <col min="19" max="19" width="10.36328125" bestFit="1" customWidth="1"/>
  </cols>
  <sheetData>
    <row r="2" spans="1:19" x14ac:dyDescent="0.35">
      <c r="A2" s="7" t="s">
        <v>24</v>
      </c>
      <c r="B2" t="s">
        <v>26</v>
      </c>
      <c r="F2" s="7" t="s">
        <v>24</v>
      </c>
      <c r="G2" t="s">
        <v>26</v>
      </c>
      <c r="J2" s="7" t="s">
        <v>24</v>
      </c>
      <c r="K2" t="s">
        <v>26</v>
      </c>
    </row>
    <row r="3" spans="1:19" x14ac:dyDescent="0.35">
      <c r="A3" s="8" t="s">
        <v>35</v>
      </c>
      <c r="B3" s="6">
        <v>55200</v>
      </c>
      <c r="F3" s="8" t="s">
        <v>14</v>
      </c>
      <c r="G3" s="6">
        <v>74400</v>
      </c>
      <c r="J3" s="8" t="s">
        <v>17</v>
      </c>
      <c r="K3" s="9">
        <v>1</v>
      </c>
      <c r="N3" t="s">
        <v>26</v>
      </c>
      <c r="R3" s="7" t="s">
        <v>24</v>
      </c>
      <c r="S3" t="s">
        <v>34</v>
      </c>
    </row>
    <row r="4" spans="1:19" x14ac:dyDescent="0.35">
      <c r="A4" s="8" t="s">
        <v>36</v>
      </c>
      <c r="B4" s="6">
        <v>15600</v>
      </c>
      <c r="F4" s="8" t="s">
        <v>12</v>
      </c>
      <c r="G4" s="6">
        <v>104400</v>
      </c>
      <c r="J4" s="8" t="s">
        <v>25</v>
      </c>
      <c r="K4" s="9">
        <v>1</v>
      </c>
      <c r="N4" s="6">
        <v>343200</v>
      </c>
      <c r="O4" s="10">
        <f>GETPIVOTDATA("Amount",$N$3)</f>
        <v>343200</v>
      </c>
      <c r="R4" s="8" t="s">
        <v>13</v>
      </c>
      <c r="S4" s="6">
        <v>220</v>
      </c>
    </row>
    <row r="5" spans="1:19" x14ac:dyDescent="0.35">
      <c r="A5" s="8" t="s">
        <v>27</v>
      </c>
      <c r="B5" s="6">
        <v>34800</v>
      </c>
      <c r="F5" s="8" t="s">
        <v>20</v>
      </c>
      <c r="G5" s="6">
        <v>50400</v>
      </c>
      <c r="R5" s="8" t="s">
        <v>17</v>
      </c>
      <c r="S5" s="6">
        <v>286</v>
      </c>
    </row>
    <row r="6" spans="1:19" x14ac:dyDescent="0.35">
      <c r="A6" s="8" t="s">
        <v>28</v>
      </c>
      <c r="B6" s="6">
        <v>36000</v>
      </c>
      <c r="F6" s="8" t="s">
        <v>9</v>
      </c>
      <c r="G6" s="6">
        <v>114000</v>
      </c>
      <c r="R6" s="8" t="s">
        <v>22</v>
      </c>
      <c r="S6" s="6">
        <v>298</v>
      </c>
    </row>
    <row r="7" spans="1:19" x14ac:dyDescent="0.35">
      <c r="A7" s="8" t="s">
        <v>29</v>
      </c>
      <c r="B7" s="6">
        <v>9600</v>
      </c>
      <c r="F7" s="8" t="s">
        <v>25</v>
      </c>
      <c r="G7" s="6">
        <v>343200</v>
      </c>
      <c r="R7" s="8" t="s">
        <v>25</v>
      </c>
      <c r="S7" s="6">
        <v>804</v>
      </c>
    </row>
    <row r="8" spans="1:19" x14ac:dyDescent="0.35">
      <c r="A8" s="8" t="s">
        <v>30</v>
      </c>
      <c r="B8" s="6">
        <v>43200</v>
      </c>
      <c r="F8"/>
      <c r="G8"/>
      <c r="N8" t="s">
        <v>33</v>
      </c>
    </row>
    <row r="9" spans="1:19" x14ac:dyDescent="0.35">
      <c r="A9" s="8" t="s">
        <v>31</v>
      </c>
      <c r="B9" s="6">
        <v>30000</v>
      </c>
      <c r="F9"/>
      <c r="G9"/>
      <c r="N9" s="6">
        <v>63</v>
      </c>
      <c r="O9">
        <f>GETPIVOTDATA("S No",$N$8)</f>
        <v>63</v>
      </c>
    </row>
    <row r="10" spans="1:19" x14ac:dyDescent="0.35">
      <c r="A10" s="8" t="s">
        <v>32</v>
      </c>
      <c r="B10" s="6">
        <v>32400</v>
      </c>
      <c r="F10"/>
      <c r="G10"/>
    </row>
    <row r="11" spans="1:19" x14ac:dyDescent="0.35">
      <c r="A11" s="8" t="s">
        <v>37</v>
      </c>
      <c r="B11" s="6">
        <v>33600</v>
      </c>
      <c r="F11"/>
      <c r="G11"/>
      <c r="R11" s="7" t="s">
        <v>24</v>
      </c>
      <c r="S11" t="s">
        <v>34</v>
      </c>
    </row>
    <row r="12" spans="1:19" x14ac:dyDescent="0.35">
      <c r="A12" s="8" t="s">
        <v>38</v>
      </c>
      <c r="B12" s="6">
        <v>52800</v>
      </c>
      <c r="F12"/>
      <c r="G12"/>
      <c r="R12" s="8" t="s">
        <v>10</v>
      </c>
      <c r="S12" s="6">
        <v>216</v>
      </c>
    </row>
    <row r="13" spans="1:19" x14ac:dyDescent="0.35">
      <c r="A13" s="8" t="s">
        <v>25</v>
      </c>
      <c r="B13" s="6">
        <v>343200</v>
      </c>
      <c r="F13"/>
      <c r="G13"/>
      <c r="R13" s="8" t="s">
        <v>19</v>
      </c>
      <c r="S13" s="6">
        <v>207</v>
      </c>
    </row>
    <row r="14" spans="1:19" x14ac:dyDescent="0.35">
      <c r="B14"/>
      <c r="N14" t="s">
        <v>34</v>
      </c>
      <c r="R14" s="8" t="s">
        <v>15</v>
      </c>
      <c r="S14" s="6">
        <v>174</v>
      </c>
    </row>
    <row r="15" spans="1:19" x14ac:dyDescent="0.35">
      <c r="B15"/>
      <c r="N15" s="6">
        <v>286</v>
      </c>
      <c r="R15" s="8" t="s">
        <v>25</v>
      </c>
      <c r="S15" s="6">
        <v>597</v>
      </c>
    </row>
    <row r="16" spans="1:19" x14ac:dyDescent="0.35">
      <c r="B16"/>
    </row>
    <row r="17" spans="2:19" x14ac:dyDescent="0.35">
      <c r="B17"/>
    </row>
    <row r="18" spans="2:19" x14ac:dyDescent="0.35">
      <c r="B18"/>
    </row>
    <row r="19" spans="2:19" x14ac:dyDescent="0.35">
      <c r="B19"/>
    </row>
    <row r="25" spans="2:19" x14ac:dyDescent="0.35">
      <c r="R25" s="7" t="s">
        <v>24</v>
      </c>
      <c r="S25" t="s">
        <v>34</v>
      </c>
    </row>
    <row r="26" spans="2:19" x14ac:dyDescent="0.35">
      <c r="R26" s="8" t="s">
        <v>17</v>
      </c>
      <c r="S26" s="6">
        <v>286</v>
      </c>
    </row>
    <row r="27" spans="2:19" x14ac:dyDescent="0.35">
      <c r="R27" s="8" t="s">
        <v>25</v>
      </c>
      <c r="S27" s="6">
        <v>286</v>
      </c>
    </row>
    <row r="41" spans="18:19" x14ac:dyDescent="0.35">
      <c r="R41" s="7" t="s">
        <v>24</v>
      </c>
      <c r="S41" t="s">
        <v>34</v>
      </c>
    </row>
    <row r="42" spans="18:19" x14ac:dyDescent="0.35">
      <c r="R42" s="8" t="s">
        <v>8</v>
      </c>
      <c r="S42" s="6">
        <v>229</v>
      </c>
    </row>
    <row r="43" spans="18:19" x14ac:dyDescent="0.35">
      <c r="R43" s="8" t="s">
        <v>18</v>
      </c>
      <c r="S43" s="6">
        <v>255</v>
      </c>
    </row>
    <row r="44" spans="18:19" x14ac:dyDescent="0.35">
      <c r="R44" s="8" t="s">
        <v>16</v>
      </c>
      <c r="S44" s="6">
        <v>259</v>
      </c>
    </row>
    <row r="45" spans="18:19" x14ac:dyDescent="0.35">
      <c r="R45" s="8" t="s">
        <v>25</v>
      </c>
      <c r="S45" s="6">
        <v>743</v>
      </c>
    </row>
    <row r="52" spans="18:19" x14ac:dyDescent="0.35">
      <c r="R52" s="7" t="s">
        <v>24</v>
      </c>
      <c r="S52" t="s">
        <v>34</v>
      </c>
    </row>
    <row r="53" spans="18:19" x14ac:dyDescent="0.35">
      <c r="R53" s="8" t="s">
        <v>21</v>
      </c>
      <c r="S53" s="6">
        <v>222</v>
      </c>
    </row>
    <row r="54" spans="18:19" x14ac:dyDescent="0.35">
      <c r="R54" s="8" t="s">
        <v>11</v>
      </c>
      <c r="S54" s="6">
        <v>219</v>
      </c>
    </row>
    <row r="55" spans="18:19" x14ac:dyDescent="0.35">
      <c r="R55" s="8" t="s">
        <v>23</v>
      </c>
      <c r="S55" s="6">
        <v>217</v>
      </c>
    </row>
    <row r="56" spans="18:19" x14ac:dyDescent="0.35">
      <c r="R56" s="8" t="s">
        <v>25</v>
      </c>
      <c r="S56" s="6">
        <v>658</v>
      </c>
    </row>
    <row r="67" spans="18:19" x14ac:dyDescent="0.35">
      <c r="R67" s="7" t="s">
        <v>24</v>
      </c>
      <c r="S67" t="s">
        <v>26</v>
      </c>
    </row>
    <row r="68" spans="18:19" x14ac:dyDescent="0.35">
      <c r="R68" s="8" t="s">
        <v>8</v>
      </c>
      <c r="S68" s="6">
        <v>25200</v>
      </c>
    </row>
    <row r="69" spans="18:19" x14ac:dyDescent="0.35">
      <c r="R69" s="8" t="s">
        <v>18</v>
      </c>
      <c r="S69" s="6">
        <v>87600</v>
      </c>
    </row>
    <row r="70" spans="18:19" x14ac:dyDescent="0.35">
      <c r="R70" s="8" t="s">
        <v>16</v>
      </c>
      <c r="S70" s="6">
        <v>81600</v>
      </c>
    </row>
    <row r="71" spans="18:19" x14ac:dyDescent="0.35">
      <c r="R71" s="8" t="s">
        <v>11</v>
      </c>
      <c r="S71" s="6">
        <v>38400</v>
      </c>
    </row>
    <row r="72" spans="18:19" x14ac:dyDescent="0.35">
      <c r="R72" s="8" t="s">
        <v>23</v>
      </c>
      <c r="S72" s="6">
        <v>57600</v>
      </c>
    </row>
    <row r="73" spans="18:19" x14ac:dyDescent="0.35">
      <c r="R73" s="8" t="s">
        <v>21</v>
      </c>
      <c r="S73" s="6">
        <v>52800</v>
      </c>
    </row>
    <row r="74" spans="18:19" x14ac:dyDescent="0.35">
      <c r="R74" s="8" t="s">
        <v>25</v>
      </c>
      <c r="S74" s="6">
        <v>343200</v>
      </c>
    </row>
  </sheetData>
  <pageMargins left="0.7" right="0.7" top="0.75" bottom="0.75" header="0.3" footer="0.3"/>
  <pageSetup orientation="portrait" r:id="rId13"/>
  <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Salesmans</vt:lpstr>
      <vt:lpstr>Products</vt:lpstr>
      <vt:lpstr>Dashboard</vt:lpstr>
      <vt:lpstr>Data</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Dalleshwari Kothare</dc:creator>
  <cp:lastModifiedBy>Dalleshwari Kothare</cp:lastModifiedBy>
  <dcterms:created xsi:type="dcterms:W3CDTF">2026-04-03T09:52:58Z</dcterms:created>
  <dcterms:modified xsi:type="dcterms:W3CDTF">2026-04-03T14:43:58Z</dcterms:modified>
</cp:coreProperties>
</file>